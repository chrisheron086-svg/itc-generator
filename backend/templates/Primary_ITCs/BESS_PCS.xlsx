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200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28"/>
    </font>
    <font>
      <name val="Arial"/>
      <family val="2"/>
      <color theme="1"/>
      <sz val="10"/>
    </font>
    <font>
      <name val="Arial"/>
      <family val="2"/>
      <b val="1"/>
      <color theme="0"/>
      <sz val="12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Rastanty Cortez"/>
      <color theme="1"/>
      <sz val="16"/>
    </font>
    <font>
      <name val="Arial"/>
      <family val="2"/>
      <b val="1"/>
      <sz val="8"/>
    </font>
    <font>
      <name val="Arial"/>
      <family val="2"/>
      <b val="1"/>
      <color theme="1"/>
      <sz val="10"/>
    </font>
    <font>
      <name val="Arial"/>
      <family val="2"/>
      <color theme="10"/>
      <sz val="10"/>
      <u val="single"/>
    </font>
    <font>
      <name val="Wingdings"/>
      <charset val="2"/>
      <color theme="1"/>
      <sz val="16"/>
    </font>
    <font>
      <name val="Arial"/>
      <family val="2"/>
      <color theme="1"/>
      <sz val="9"/>
    </font>
    <font>
      <name val="Arial"/>
      <family val="2"/>
      <color theme="1"/>
      <sz val="16"/>
    </font>
    <font>
      <name val="Arial"/>
      <family val="2"/>
      <color rgb="FFFF0000"/>
      <sz val="8"/>
    </font>
    <font>
      <name val="Courier New"/>
      <family val="3"/>
      <color rgb="FF00B050"/>
      <sz val="10"/>
    </font>
    <font>
      <name val="Arial"/>
      <family val="2"/>
      <b val="1"/>
      <sz val="16"/>
    </font>
    <font>
      <name val="Arial"/>
      <family val="2"/>
      <color theme="1"/>
      <sz val="12"/>
    </font>
  </fonts>
  <fills count="10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lightUp"/>
    </fill>
    <fill>
      <patternFill patternType="lightUp">
        <bgColor theme="0" tint="-0.0499893185216834"/>
      </patternFill>
    </fill>
    <fill>
      <patternFill patternType="solid">
        <fgColor indexed="65"/>
        <bgColor indexed="64"/>
      </patternFill>
    </fill>
    <fill>
      <patternFill patternType="lightGray"/>
    </fill>
    <fill>
      <patternFill patternType="lightGray">
        <bgColor theme="0" tint="-0.049989318521683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5" fillId="9" borderId="6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0" fontId="13" fillId="9" borderId="13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9" fontId="5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16" fillId="0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10" fillId="0" borderId="1" applyAlignment="1" pivotButton="0" quotePrefix="0" xfId="0">
      <alignment horizontal="center" wrapText="1"/>
    </xf>
    <xf numFmtId="0" fontId="0" fillId="0" borderId="3" pivotButton="0" quotePrefix="0" xfId="0"/>
    <xf numFmtId="0" fontId="5" fillId="4" borderId="1" applyAlignment="1" pivotButton="0" quotePrefix="0" xfId="0">
      <alignment horizontal="left" vertical="center" wrapText="1"/>
    </xf>
    <xf numFmtId="0" fontId="13" fillId="4" borderId="13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left" vertical="center" wrapText="1"/>
    </xf>
    <xf numFmtId="0" fontId="0" fillId="0" borderId="2" pivotButton="0" quotePrefix="0" xfId="0"/>
    <xf numFmtId="0" fontId="12" fillId="5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2" pivotButton="0" quotePrefix="0" xfId="0"/>
    <xf numFmtId="0" fontId="5" fillId="7" borderId="1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left" vertical="center" wrapText="1"/>
    </xf>
    <xf numFmtId="164" fontId="1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9" fillId="7" borderId="1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5" fillId="7" borderId="13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3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wrapText="1"/>
    </xf>
    <xf numFmtId="0" fontId="7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8" fillId="3" borderId="1" applyAlignment="1" pivotButton="0" quotePrefix="0" xfId="0">
      <alignment horizontal="left" vertical="center" wrapText="1"/>
    </xf>
    <xf numFmtId="2" fontId="13" fillId="6" borderId="6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wrapText="1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3" applyAlignment="1" pivotButton="0" quotePrefix="0" xfId="0">
      <alignment horizontal="left" vertical="center" wrapText="1"/>
    </xf>
    <xf numFmtId="0" fontId="5" fillId="4" borderId="1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2" fontId="13" fillId="4" borderId="1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72"/>
  <sheetViews>
    <sheetView tabSelected="1" topLeftCell="A21" workbookViewId="0">
      <selection activeCell="W33" sqref="W33:X33"/>
    </sheetView>
  </sheetViews>
  <sheetFormatPr baseColWidth="8" defaultRowHeight="15"/>
  <cols>
    <col width="5" customWidth="1" style="31" min="1" max="2"/>
    <col width="5.7109375" customWidth="1" style="31" min="13" max="13"/>
    <col width="5" customWidth="1" style="31" min="14" max="14"/>
    <col width="5.140625" customWidth="1" style="31" min="16" max="16"/>
    <col width="7.42578125" customWidth="1" style="31" min="23" max="23"/>
    <col width="5" customWidth="1" style="31" min="25" max="25"/>
    <col width="6.5703125" customWidth="1" style="31" min="28" max="28"/>
    <col width="5" customWidth="1" style="31" min="29" max="29"/>
  </cols>
  <sheetData>
    <row r="1" ht="22.5" customHeight="1" s="31">
      <c r="A1" s="91" t="n"/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3" t="n"/>
    </row>
    <row r="2" ht="22.5" customHeight="1" s="31">
      <c r="A2" s="33" t="n"/>
      <c r="Z2" s="32" t="n"/>
    </row>
    <row r="3" ht="22.5" customHeight="1" s="31">
      <c r="A3" s="33" t="n"/>
      <c r="Z3" s="32" t="n"/>
    </row>
    <row r="4" ht="22.5" customHeight="1" s="31">
      <c r="A4" s="33" t="n"/>
      <c r="Z4" s="32" t="n"/>
    </row>
    <row r="5" ht="22.5" customHeight="1" s="31">
      <c r="A5" s="33" t="n"/>
      <c r="Z5" s="32" t="n"/>
    </row>
    <row r="6" ht="22.5" customHeight="1" s="31">
      <c r="A6" s="34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6" t="n"/>
    </row>
    <row r="7" ht="22.5" customHeight="1" s="31">
      <c r="A7" s="100" t="inlineStr">
        <is>
          <t>Consolidated Power Projects
Project Details</t>
        </is>
      </c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3" t="n"/>
      <c r="N7" s="100" t="inlineStr">
        <is>
          <t>Client
Project Details</t>
        </is>
      </c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3" t="n"/>
    </row>
    <row r="8" ht="22.5" customHeight="1" s="31">
      <c r="A8" s="34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6" t="n"/>
      <c r="N8" s="34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6" t="n"/>
    </row>
    <row r="9" ht="22.5" customHeight="1" s="31">
      <c r="A9" s="73" t="inlineStr">
        <is>
          <t>CPP Project Name:</t>
        </is>
      </c>
      <c r="B9" s="41" t="n"/>
      <c r="C9" s="41" t="n"/>
      <c r="D9" s="41" t="n"/>
      <c r="E9" s="41" t="n"/>
      <c r="F9" s="38" t="n"/>
      <c r="G9" s="40" t="n"/>
      <c r="H9" s="41" t="n"/>
      <c r="I9" s="41" t="n"/>
      <c r="J9" s="41" t="n"/>
      <c r="K9" s="41" t="n"/>
      <c r="L9" s="41" t="n"/>
      <c r="M9" s="38" t="n"/>
      <c r="N9" s="73" t="inlineStr">
        <is>
          <t>Client Project Title:</t>
        </is>
      </c>
      <c r="O9" s="41" t="n"/>
      <c r="P9" s="41" t="n"/>
      <c r="Q9" s="41" t="n"/>
      <c r="R9" s="41" t="n"/>
      <c r="S9" s="38" t="n"/>
      <c r="T9" s="44" t="n"/>
      <c r="U9" s="41" t="n"/>
      <c r="V9" s="41" t="n"/>
      <c r="W9" s="41" t="n"/>
      <c r="X9" s="41" t="n"/>
      <c r="Y9" s="41" t="n"/>
      <c r="Z9" s="38" t="n"/>
    </row>
    <row r="10" ht="22.5" customHeight="1" s="31">
      <c r="A10" s="73" t="inlineStr">
        <is>
          <t>CPP Job No:</t>
        </is>
      </c>
      <c r="B10" s="41" t="n"/>
      <c r="C10" s="41" t="n"/>
      <c r="D10" s="41" t="n"/>
      <c r="E10" s="41" t="n"/>
      <c r="F10" s="38" t="n"/>
      <c r="G10" s="40" t="n"/>
      <c r="H10" s="41" t="n"/>
      <c r="I10" s="41" t="n"/>
      <c r="J10" s="41" t="n"/>
      <c r="K10" s="41" t="n"/>
      <c r="L10" s="41" t="n"/>
      <c r="M10" s="38" t="n"/>
      <c r="N10" s="73" t="inlineStr">
        <is>
          <t>Client Project Number / Separable Portion / Stage</t>
        </is>
      </c>
      <c r="O10" s="41" t="n"/>
      <c r="P10" s="41" t="n"/>
      <c r="Q10" s="41" t="n"/>
      <c r="R10" s="41" t="n"/>
      <c r="S10" s="38" t="n"/>
      <c r="T10" s="44" t="n"/>
      <c r="U10" s="41" t="n"/>
      <c r="V10" s="41" t="n"/>
      <c r="W10" s="41" t="n"/>
      <c r="X10" s="41" t="n"/>
      <c r="Y10" s="41" t="n"/>
      <c r="Z10" s="38" t="n"/>
    </row>
    <row r="11" ht="22.5" customHeight="1" s="31">
      <c r="A11" s="73" t="inlineStr">
        <is>
          <t>Bay / Cubicle / Panel Name:</t>
        </is>
      </c>
      <c r="B11" s="41" t="n"/>
      <c r="C11" s="41" t="n"/>
      <c r="D11" s="41" t="n"/>
      <c r="E11" s="41" t="n"/>
      <c r="F11" s="38" t="n"/>
      <c r="G11" s="40" t="n"/>
      <c r="H11" s="41" t="n"/>
      <c r="I11" s="41" t="n"/>
      <c r="J11" s="41" t="n"/>
      <c r="K11" s="41" t="n"/>
      <c r="L11" s="41" t="n"/>
      <c r="M11" s="38" t="n"/>
      <c r="N11" s="73" t="inlineStr">
        <is>
          <t>Site Location:</t>
        </is>
      </c>
      <c r="O11" s="49" t="n"/>
      <c r="P11" s="49" t="n"/>
      <c r="Q11" s="49" t="n"/>
      <c r="R11" s="49" t="n"/>
      <c r="S11" s="43" t="n"/>
      <c r="T11" s="44" t="n"/>
      <c r="U11" s="49" t="n"/>
      <c r="V11" s="49" t="n"/>
      <c r="W11" s="49" t="n"/>
      <c r="X11" s="49" t="n"/>
      <c r="Y11" s="49" t="n"/>
      <c r="Z11" s="43" t="n"/>
    </row>
    <row r="12" ht="22.5" customHeight="1" s="31">
      <c r="A12" s="73" t="inlineStr">
        <is>
          <t>CPP ITC Reference Number:</t>
        </is>
      </c>
      <c r="B12" s="41" t="n"/>
      <c r="C12" s="41" t="n"/>
      <c r="D12" s="41" t="n"/>
      <c r="E12" s="41" t="n"/>
      <c r="F12" s="38" t="n"/>
      <c r="G12" s="40" t="n"/>
      <c r="H12" s="41" t="n"/>
      <c r="I12" s="41" t="n"/>
      <c r="J12" s="41" t="n"/>
      <c r="K12" s="41" t="n"/>
      <c r="L12" s="41" t="n"/>
      <c r="M12" s="38" t="n"/>
      <c r="N12" s="34" t="n"/>
      <c r="O12" s="35" t="n"/>
      <c r="P12" s="35" t="n"/>
      <c r="Q12" s="35" t="n"/>
      <c r="R12" s="35" t="n"/>
      <c r="S12" s="36" t="n"/>
      <c r="T12" s="34" t="n"/>
      <c r="U12" s="35" t="n"/>
      <c r="V12" s="35" t="n"/>
      <c r="W12" s="35" t="n"/>
      <c r="X12" s="35" t="n"/>
      <c r="Y12" s="35" t="n"/>
      <c r="Z12" s="36" t="n"/>
    </row>
    <row r="13" ht="22.5" customHeight="1" s="31">
      <c r="A13" s="73" t="inlineStr">
        <is>
          <t>ITP Prepared by:</t>
        </is>
      </c>
      <c r="B13" s="41" t="n"/>
      <c r="C13" s="41" t="n"/>
      <c r="D13" s="41" t="n"/>
      <c r="E13" s="41" t="n"/>
      <c r="F13" s="38" t="n"/>
      <c r="G13" s="86" t="n"/>
      <c r="H13" s="75" t="n"/>
      <c r="I13" s="75" t="n"/>
      <c r="J13" s="75" t="n"/>
      <c r="K13" s="75" t="n"/>
      <c r="L13" s="75" t="n"/>
      <c r="M13" s="76" t="n"/>
      <c r="N13" s="73" t="inlineStr">
        <is>
          <t>Client Checked by:</t>
        </is>
      </c>
      <c r="O13" s="49" t="n"/>
      <c r="P13" s="43" t="n"/>
      <c r="Q13" s="73" t="inlineStr">
        <is>
          <t>Name:</t>
        </is>
      </c>
      <c r="R13" s="41" t="n"/>
      <c r="S13" s="38" t="n"/>
      <c r="T13" s="86" t="n"/>
      <c r="U13" s="75" t="n"/>
      <c r="V13" s="75" t="n"/>
      <c r="W13" s="75" t="n"/>
      <c r="X13" s="75" t="n"/>
      <c r="Y13" s="75" t="n"/>
      <c r="Z13" s="76" t="n"/>
    </row>
    <row r="14" ht="22.5" customHeight="1" s="31">
      <c r="A14" s="73" t="inlineStr">
        <is>
          <t>Position:</t>
        </is>
      </c>
      <c r="B14" s="41" t="n"/>
      <c r="C14" s="41" t="n"/>
      <c r="D14" s="41" t="n"/>
      <c r="E14" s="41" t="n"/>
      <c r="F14" s="38" t="n"/>
      <c r="G14" s="86" t="n"/>
      <c r="H14" s="75" t="n"/>
      <c r="I14" s="75" t="n"/>
      <c r="J14" s="75" t="n"/>
      <c r="K14" s="75" t="n"/>
      <c r="L14" s="75" t="n"/>
      <c r="M14" s="76" t="n"/>
      <c r="N14" s="33" t="n"/>
      <c r="P14" s="32" t="n"/>
      <c r="Q14" s="73" t="inlineStr">
        <is>
          <t>Position:</t>
        </is>
      </c>
      <c r="R14" s="41" t="n"/>
      <c r="S14" s="38" t="n"/>
      <c r="T14" s="86" t="n"/>
      <c r="U14" s="75" t="n"/>
      <c r="V14" s="75" t="n"/>
      <c r="W14" s="75" t="n"/>
      <c r="X14" s="75" t="n"/>
      <c r="Y14" s="75" t="n"/>
      <c r="Z14" s="76" t="n"/>
    </row>
    <row r="15" ht="22.5" customHeight="1" s="31">
      <c r="A15" s="73" t="inlineStr">
        <is>
          <t>Date:</t>
        </is>
      </c>
      <c r="B15" s="41" t="n"/>
      <c r="C15" s="41" t="n"/>
      <c r="D15" s="41" t="n"/>
      <c r="E15" s="41" t="n"/>
      <c r="F15" s="38" t="n"/>
      <c r="G15" s="96" t="n"/>
      <c r="H15" s="75" t="n"/>
      <c r="I15" s="75" t="n"/>
      <c r="J15" s="75" t="n"/>
      <c r="K15" s="75" t="n"/>
      <c r="L15" s="75" t="n"/>
      <c r="M15" s="76" t="n"/>
      <c r="N15" s="33" t="n"/>
      <c r="P15" s="32" t="n"/>
      <c r="Q15" s="73" t="inlineStr">
        <is>
          <t>Signature:</t>
        </is>
      </c>
      <c r="R15" s="41" t="n"/>
      <c r="S15" s="38" t="n"/>
      <c r="T15" s="86" t="n"/>
      <c r="U15" s="75" t="n"/>
      <c r="V15" s="75" t="n"/>
      <c r="W15" s="75" t="n"/>
      <c r="X15" s="75" t="n"/>
      <c r="Y15" s="75" t="n"/>
      <c r="Z15" s="76" t="n"/>
    </row>
    <row r="16" ht="22.5" customHeight="1" s="31">
      <c r="A16" s="73" t="inlineStr">
        <is>
          <t>Checked by:</t>
        </is>
      </c>
      <c r="B16" s="49" t="n"/>
      <c r="C16" s="43" t="n"/>
      <c r="D16" s="73" t="inlineStr">
        <is>
          <t>Name:</t>
        </is>
      </c>
      <c r="E16" s="41" t="n"/>
      <c r="F16" s="38" t="n"/>
      <c r="G16" s="86" t="n"/>
      <c r="H16" s="75" t="n"/>
      <c r="I16" s="75" t="n"/>
      <c r="J16" s="75" t="n"/>
      <c r="K16" s="75" t="n"/>
      <c r="L16" s="75" t="n"/>
      <c r="M16" s="76" t="n"/>
      <c r="N16" s="34" t="n"/>
      <c r="O16" s="35" t="n"/>
      <c r="P16" s="36" t="n"/>
      <c r="Q16" s="73" t="inlineStr">
        <is>
          <t>Date:</t>
        </is>
      </c>
      <c r="R16" s="41" t="n"/>
      <c r="S16" s="38" t="n"/>
      <c r="T16" s="96" t="n"/>
      <c r="U16" s="75" t="n"/>
      <c r="V16" s="75" t="n"/>
      <c r="W16" s="75" t="n"/>
      <c r="X16" s="75" t="n"/>
      <c r="Y16" s="75" t="n"/>
      <c r="Z16" s="76" t="n"/>
    </row>
    <row r="17" ht="22.5" customHeight="1" s="31">
      <c r="A17" s="33" t="n"/>
      <c r="C17" s="32" t="n"/>
      <c r="D17" s="73" t="inlineStr">
        <is>
          <t>Position:</t>
        </is>
      </c>
      <c r="E17" s="41" t="n"/>
      <c r="F17" s="38" t="n"/>
      <c r="G17" s="86" t="n"/>
      <c r="H17" s="75" t="n"/>
      <c r="I17" s="75" t="n"/>
      <c r="J17" s="75" t="n"/>
      <c r="K17" s="75" t="n"/>
      <c r="L17" s="75" t="n"/>
      <c r="M17" s="76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31">
      <c r="A18" s="33" t="n"/>
      <c r="C18" s="32" t="n"/>
      <c r="D18" s="73" t="inlineStr">
        <is>
          <t>Signature:</t>
        </is>
      </c>
      <c r="E18" s="41" t="n"/>
      <c r="F18" s="38" t="n"/>
      <c r="G18" s="74" t="n"/>
      <c r="H18" s="75" t="n"/>
      <c r="I18" s="75" t="n"/>
      <c r="J18" s="75" t="n"/>
      <c r="K18" s="75" t="n"/>
      <c r="L18" s="75" t="n"/>
      <c r="M18" s="76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31">
      <c r="A19" s="34" t="n"/>
      <c r="B19" s="35" t="n"/>
      <c r="C19" s="36" t="n"/>
      <c r="D19" s="73" t="inlineStr">
        <is>
          <t>Date:</t>
        </is>
      </c>
      <c r="E19" s="41" t="n"/>
      <c r="F19" s="38" t="n"/>
      <c r="G19" s="96" t="n"/>
      <c r="H19" s="75" t="n"/>
      <c r="I19" s="75" t="n"/>
      <c r="J19" s="75" t="n"/>
      <c r="K19" s="75" t="n"/>
      <c r="L19" s="75" t="n"/>
      <c r="M19" s="76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31">
      <c r="A20" s="73" t="inlineStr">
        <is>
          <t>Tested by:</t>
        </is>
      </c>
      <c r="B20" s="41" t="n"/>
      <c r="C20" s="41" t="n"/>
      <c r="D20" s="41" t="n"/>
      <c r="E20" s="41" t="n"/>
      <c r="F20" s="38" t="n"/>
      <c r="G20" s="86" t="n"/>
      <c r="H20" s="75" t="n"/>
      <c r="I20" s="75" t="n"/>
      <c r="J20" s="75" t="n"/>
      <c r="K20" s="75" t="n"/>
      <c r="L20" s="75" t="n"/>
      <c r="M20" s="76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31">
      <c r="A21" s="73" t="inlineStr">
        <is>
          <t>Test Commencement Date:</t>
        </is>
      </c>
      <c r="B21" s="41" t="n"/>
      <c r="C21" s="41" t="n"/>
      <c r="D21" s="41" t="n"/>
      <c r="E21" s="41" t="n"/>
      <c r="F21" s="38" t="n"/>
      <c r="G21" s="85" t="n"/>
      <c r="H21" s="41" t="n"/>
      <c r="I21" s="41" t="n"/>
      <c r="J21" s="41" t="n"/>
      <c r="K21" s="41" t="n"/>
      <c r="L21" s="41" t="n"/>
      <c r="M21" s="38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31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31">
      <c r="A23" s="94" t="inlineStr">
        <is>
          <t>LINE No:</t>
        </is>
      </c>
      <c r="B23" s="94" t="inlineStr">
        <is>
          <t>Test Category / Function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38" t="n"/>
      <c r="M23" s="94" t="inlineStr">
        <is>
          <t>Acceptance Criteria</t>
        </is>
      </c>
      <c r="N23" s="41" t="n"/>
      <c r="O23" s="41" t="n"/>
      <c r="P23" s="41" t="n"/>
      <c r="Q23" s="41" t="n"/>
      <c r="R23" s="41" t="n"/>
      <c r="S23" s="41" t="n"/>
      <c r="T23" s="41" t="n"/>
      <c r="U23" s="41" t="n"/>
      <c r="V23" s="38" t="n"/>
      <c r="W23" s="94" t="inlineStr">
        <is>
          <t>Result / Notes</t>
        </is>
      </c>
      <c r="X23" s="38" t="n"/>
      <c r="Y23" s="83" t="inlineStr">
        <is>
          <t>Pass/Fail</t>
        </is>
      </c>
      <c r="Z23" s="38" t="n"/>
    </row>
    <row r="24" ht="22.5" customHeight="1" s="31">
      <c r="A24" s="65" t="n">
        <v>1</v>
      </c>
      <c r="B24" s="87" t="inlineStr">
        <is>
          <t xml:space="preserve"> Protection Relay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38" t="n"/>
      <c r="M24" s="67" t="inlineStr">
        <is>
          <t>Acceptance criteria derived from relay manual</t>
        </is>
      </c>
      <c r="N24" s="41" t="n"/>
      <c r="O24" s="41" t="n"/>
      <c r="P24" s="41" t="n"/>
      <c r="Q24" s="41" t="n"/>
      <c r="R24" s="41" t="n"/>
      <c r="S24" s="41" t="n"/>
      <c r="T24" s="41" t="n"/>
      <c r="U24" s="41" t="n"/>
      <c r="V24" s="38" t="n"/>
      <c r="W24" s="103" t="n"/>
      <c r="X24" s="38" t="n"/>
      <c r="Y24" s="104" t="n"/>
      <c r="Z24" s="38" t="n"/>
    </row>
    <row r="25" ht="22.5" customHeight="1" s="31">
      <c r="A25" s="65">
        <f>A24+1</f>
        <v/>
      </c>
      <c r="B25" s="70" t="inlineStr">
        <is>
          <t xml:space="preserve">Nameplate Photo:
</t>
        </is>
      </c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3" t="n"/>
      <c r="M25" s="98" t="inlineStr">
        <is>
          <t>Matches:
-Purchase Order
-Functional Design Specification</t>
        </is>
      </c>
      <c r="N25" s="49" t="n"/>
      <c r="O25" s="49" t="n"/>
      <c r="P25" s="49" t="n"/>
      <c r="Q25" s="49" t="n"/>
      <c r="R25" s="49" t="n"/>
      <c r="S25" s="49" t="n"/>
      <c r="T25" s="49" t="n"/>
      <c r="U25" s="49" t="n"/>
      <c r="V25" s="43" t="n"/>
      <c r="W25" s="47" t="n"/>
      <c r="X25" s="43" t="n"/>
      <c r="Y25" s="47" t="n"/>
      <c r="Z25" s="43" t="n"/>
    </row>
    <row r="26" ht="22.5" customHeight="1" s="31">
      <c r="A26" s="65">
        <f>A25+1</f>
        <v/>
      </c>
      <c r="B26" s="95" t="n"/>
      <c r="L26" s="32" t="n"/>
      <c r="M26" s="33" t="n"/>
      <c r="V26" s="32" t="n"/>
      <c r="W26" s="33" t="n"/>
      <c r="X26" s="32" t="n"/>
      <c r="Y26" s="33" t="n"/>
      <c r="Z26" s="32" t="n"/>
    </row>
    <row r="27" ht="22.5" customHeight="1" s="31">
      <c r="A27" s="65">
        <f>A26+1</f>
        <v/>
      </c>
      <c r="B27" s="33" t="n"/>
      <c r="L27" s="32" t="n"/>
      <c r="M27" s="33" t="n"/>
      <c r="V27" s="32" t="n"/>
      <c r="W27" s="33" t="n"/>
      <c r="X27" s="32" t="n"/>
      <c r="Y27" s="33" t="n"/>
      <c r="Z27" s="32" t="n"/>
    </row>
    <row r="28" ht="22.5" customHeight="1" s="31">
      <c r="A28" s="65">
        <f>A27+1</f>
        <v/>
      </c>
      <c r="B28" s="33" t="n"/>
      <c r="L28" s="32" t="n"/>
      <c r="M28" s="33" t="n"/>
      <c r="V28" s="32" t="n"/>
      <c r="W28" s="33" t="n"/>
      <c r="X28" s="32" t="n"/>
      <c r="Y28" s="33" t="n"/>
      <c r="Z28" s="32" t="n"/>
    </row>
    <row r="29" ht="22.5" customHeight="1" s="31">
      <c r="A29" s="65">
        <f>A28+1</f>
        <v/>
      </c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6" t="n"/>
      <c r="M29" s="33" t="n"/>
      <c r="V29" s="32" t="n"/>
      <c r="W29" s="34" t="n"/>
      <c r="X29" s="36" t="n"/>
      <c r="Y29" s="34" t="n"/>
      <c r="Z29" s="36" t="n"/>
    </row>
    <row r="30" ht="22.5" customHeight="1" s="31">
      <c r="A30" s="65">
        <f>A29+1</f>
        <v/>
      </c>
      <c r="B30" s="44" t="inlineStr">
        <is>
          <t>Metering</t>
        </is>
      </c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38" t="n"/>
    </row>
    <row r="31" ht="22.5" customHeight="1" s="31">
      <c r="A31" s="65">
        <f>A30+1</f>
        <v/>
      </c>
      <c r="B31" s="108" t="inlineStr">
        <is>
          <t>Nominal current and voltage</t>
        </is>
      </c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38" t="n"/>
      <c r="M31" s="90" t="inlineStr">
        <is>
          <t>Relay metering matches test set output</t>
        </is>
      </c>
      <c r="N31" s="41" t="n"/>
      <c r="O31" s="41" t="n"/>
      <c r="P31" s="41" t="n"/>
      <c r="Q31" s="41" t="n"/>
      <c r="R31" s="41" t="n"/>
      <c r="S31" s="41" t="n"/>
      <c r="T31" s="41" t="n"/>
      <c r="U31" s="41" t="n"/>
      <c r="V31" s="38" t="n"/>
      <c r="W31" s="46" t="inlineStr">
        <is>
          <t>Link to screenshot</t>
        </is>
      </c>
      <c r="Y31" s="50" t="n"/>
      <c r="Z31" s="38" t="n"/>
    </row>
    <row r="32" ht="22.5" customHeight="1" s="31">
      <c r="A32" s="65">
        <f>A31+1</f>
        <v/>
      </c>
      <c r="B32" s="44" t="inlineStr">
        <is>
          <t>Phase Overcurrent</t>
        </is>
      </c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38" t="n"/>
    </row>
    <row r="33" ht="22.5" customHeight="1" s="31">
      <c r="A33" s="65">
        <f>A32+1</f>
        <v/>
      </c>
      <c r="B33" s="80" t="inlineStr">
        <is>
          <t>IDMT Pickup</t>
        </is>
      </c>
      <c r="C33" s="49" t="n"/>
      <c r="D33" s="49" t="n"/>
      <c r="E33" s="49" t="n"/>
      <c r="F33" s="49" t="n"/>
      <c r="G33" s="49" t="n"/>
      <c r="H33" s="49" t="n"/>
      <c r="I33" s="49" t="n"/>
      <c r="J33" s="43" t="n"/>
      <c r="K33" s="52" t="inlineStr">
        <is>
          <t>A</t>
        </is>
      </c>
      <c r="L33" s="38" t="n"/>
      <c r="M33" s="45" t="n">
        <v>90</v>
      </c>
      <c r="N33" s="63" t="inlineStr">
        <is>
          <t>A</t>
        </is>
      </c>
      <c r="O33" s="54" t="inlineStr">
        <is>
          <t>±</t>
        </is>
      </c>
      <c r="P33" s="99">
        <f>MAX((M33*0.05),(0.005))</f>
        <v/>
      </c>
      <c r="Q33" s="49" t="n"/>
      <c r="R33" s="49" t="n"/>
      <c r="S33" s="49" t="n"/>
      <c r="T33" s="49" t="n"/>
      <c r="U33" s="49" t="n"/>
      <c r="V33" s="43" t="n"/>
      <c r="W33" s="77" t="n"/>
      <c r="X33" s="38" t="n"/>
      <c r="Y33" s="42" t="n"/>
      <c r="Z33" s="38" t="n"/>
    </row>
    <row r="34" ht="22.5" customHeight="1" s="31">
      <c r="A34" s="65">
        <f>A33+1</f>
        <v/>
      </c>
      <c r="B34" s="33" t="n"/>
      <c r="J34" s="32" t="n"/>
      <c r="K34" s="52" t="inlineStr">
        <is>
          <t>B</t>
        </is>
      </c>
      <c r="L34" s="38" t="n"/>
      <c r="M34" s="33" t="n"/>
      <c r="N34" s="32" t="n"/>
      <c r="O34" s="57" t="n"/>
      <c r="P34" s="33" t="n"/>
      <c r="V34" s="32" t="n"/>
      <c r="W34" s="77" t="n"/>
      <c r="X34" s="38" t="n"/>
      <c r="Y34" s="42" t="n"/>
      <c r="Z34" s="38" t="n"/>
      <c r="AB34" s="16" t="n"/>
    </row>
    <row r="35" ht="22.5" customHeight="1" s="31">
      <c r="A35" s="65">
        <f>A34+1</f>
        <v/>
      </c>
      <c r="B35" s="33" t="n"/>
      <c r="J35" s="32" t="n"/>
      <c r="K35" s="52" t="inlineStr">
        <is>
          <t>C</t>
        </is>
      </c>
      <c r="L35" s="38" t="n"/>
      <c r="M35" s="33" t="n"/>
      <c r="N35" s="32" t="n"/>
      <c r="O35" s="57" t="n"/>
      <c r="P35" s="33" t="n"/>
      <c r="V35" s="32" t="n"/>
      <c r="W35" s="77" t="n"/>
      <c r="X35" s="38" t="n"/>
      <c r="Y35" s="42" t="n"/>
      <c r="Z35" s="38" t="n"/>
    </row>
    <row r="36" ht="22.5" customHeight="1" s="31">
      <c r="A36" s="65">
        <f>A35+1</f>
        <v/>
      </c>
      <c r="B36" s="34" t="n"/>
      <c r="C36" s="35" t="n"/>
      <c r="D36" s="35" t="n"/>
      <c r="E36" s="35" t="n"/>
      <c r="F36" s="35" t="n"/>
      <c r="G36" s="35" t="n"/>
      <c r="H36" s="35" t="n"/>
      <c r="I36" s="35" t="n"/>
      <c r="J36" s="36" t="n"/>
      <c r="K36" s="53" t="inlineStr">
        <is>
          <t>A-B-C</t>
        </is>
      </c>
      <c r="L36" s="38" t="n"/>
      <c r="M36" s="34" t="n"/>
      <c r="N36" s="36" t="n"/>
      <c r="O36" s="58" t="n"/>
      <c r="P36" s="34" t="n"/>
      <c r="Q36" s="35" t="n"/>
      <c r="R36" s="35" t="n"/>
      <c r="S36" s="35" t="n"/>
      <c r="T36" s="35" t="n"/>
      <c r="U36" s="35" t="n"/>
      <c r="V36" s="36" t="n"/>
      <c r="W36" s="37" t="n"/>
      <c r="X36" s="38" t="n"/>
      <c r="Y36" s="82" t="n"/>
      <c r="Z36" s="38" t="n"/>
    </row>
    <row r="37" ht="22.5" customHeight="1" s="31">
      <c r="A37" s="65">
        <f>A36+1</f>
        <v/>
      </c>
      <c r="B37" s="79" t="inlineStr">
        <is>
          <t xml:space="preserve">High-Set Pickup </t>
        </is>
      </c>
      <c r="C37" s="49" t="n"/>
      <c r="D37" s="49" t="n"/>
      <c r="E37" s="49" t="n"/>
      <c r="F37" s="49" t="n"/>
      <c r="G37" s="49" t="n"/>
      <c r="H37" s="49" t="n"/>
      <c r="I37" s="49" t="n"/>
      <c r="J37" s="49" t="n"/>
      <c r="K37" s="52" t="inlineStr">
        <is>
          <t>A</t>
        </is>
      </c>
      <c r="L37" s="38" t="n"/>
      <c r="M37" s="45" t="n">
        <v>750</v>
      </c>
      <c r="N37" s="63" t="inlineStr">
        <is>
          <t>A</t>
        </is>
      </c>
      <c r="O37" s="54" t="inlineStr">
        <is>
          <t>±</t>
        </is>
      </c>
      <c r="P37" s="99">
        <f>MAX((M37*0.05),(0.005))</f>
        <v/>
      </c>
      <c r="Q37" s="49" t="n"/>
      <c r="R37" s="49" t="n"/>
      <c r="S37" s="49" t="n"/>
      <c r="T37" s="49" t="n"/>
      <c r="U37" s="49" t="n"/>
      <c r="V37" s="43" t="n"/>
      <c r="W37" s="77" t="n"/>
      <c r="X37" s="38" t="n"/>
      <c r="Y37" s="42" t="n"/>
      <c r="Z37" s="38" t="n"/>
    </row>
    <row r="38" ht="22.5" customHeight="1" s="31">
      <c r="A38" s="65">
        <f>A37+1</f>
        <v/>
      </c>
      <c r="B38" s="33" t="n"/>
      <c r="K38" s="52" t="inlineStr">
        <is>
          <t>B</t>
        </is>
      </c>
      <c r="L38" s="38" t="n"/>
      <c r="M38" s="33" t="n"/>
      <c r="N38" s="32" t="n"/>
      <c r="O38" s="57" t="n"/>
      <c r="P38" s="33" t="n"/>
      <c r="V38" s="32" t="n"/>
      <c r="W38" s="77" t="n"/>
      <c r="X38" s="38" t="n"/>
      <c r="Y38" s="42" t="n"/>
      <c r="Z38" s="38" t="n"/>
    </row>
    <row r="39" ht="22.5" customHeight="1" s="31">
      <c r="A39" s="65">
        <f>A38+1</f>
        <v/>
      </c>
      <c r="B39" s="33" t="n"/>
      <c r="K39" s="52" t="inlineStr">
        <is>
          <t>C</t>
        </is>
      </c>
      <c r="L39" s="38" t="n"/>
      <c r="M39" s="33" t="n"/>
      <c r="N39" s="32" t="n"/>
      <c r="O39" s="57" t="n"/>
      <c r="P39" s="33" t="n"/>
      <c r="V39" s="32" t="n"/>
      <c r="W39" s="77" t="n"/>
      <c r="X39" s="38" t="n"/>
      <c r="Y39" s="42" t="n"/>
      <c r="Z39" s="38" t="n"/>
    </row>
    <row r="40" ht="22.5" customHeight="1" s="31">
      <c r="A40" s="65">
        <f>A39+1</f>
        <v/>
      </c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53" t="inlineStr">
        <is>
          <t>A-B-C</t>
        </is>
      </c>
      <c r="L40" s="38" t="n"/>
      <c r="M40" s="34" t="n"/>
      <c r="N40" s="36" t="n"/>
      <c r="O40" s="58" t="n"/>
      <c r="P40" s="34" t="n"/>
      <c r="Q40" s="35" t="n"/>
      <c r="R40" s="35" t="n"/>
      <c r="S40" s="35" t="n"/>
      <c r="T40" s="35" t="n"/>
      <c r="U40" s="35" t="n"/>
      <c r="V40" s="36" t="n"/>
      <c r="W40" s="53" t="n"/>
      <c r="X40" s="38" t="n"/>
      <c r="Y40" s="82" t="n"/>
      <c r="Z40" s="38" t="n"/>
    </row>
    <row r="41" ht="22.5" customHeight="1" s="31">
      <c r="A41" s="65">
        <f>A40+1</f>
        <v/>
      </c>
      <c r="B41" s="97" t="inlineStr">
        <is>
          <t>Timing Characteristic</t>
        </is>
      </c>
      <c r="C41" s="49" t="n"/>
      <c r="D41" s="49" t="n"/>
      <c r="E41" s="49" t="n"/>
      <c r="F41" s="49" t="n"/>
      <c r="G41" s="49" t="n"/>
      <c r="H41" s="49" t="n"/>
      <c r="I41" s="49" t="n"/>
      <c r="J41" s="49" t="n"/>
      <c r="K41" s="52" t="inlineStr">
        <is>
          <t>A</t>
        </is>
      </c>
      <c r="L41" s="38" t="n"/>
      <c r="M41" s="84" t="n">
        <v>0.1</v>
      </c>
      <c r="N41" s="63" t="inlineStr">
        <is>
          <t>s</t>
        </is>
      </c>
      <c r="O41" s="54" t="inlineStr">
        <is>
          <t>±</t>
        </is>
      </c>
      <c r="P41" s="84" t="inlineStr">
        <is>
          <t>IDMT Element
5% or 20ms (Greater of the two)
High-Set Element
1% or 20ms (Greater of the two) + 30ms</t>
        </is>
      </c>
      <c r="Q41" s="49" t="n"/>
      <c r="R41" s="49" t="n"/>
      <c r="S41" s="49" t="n"/>
      <c r="T41" s="49" t="n"/>
      <c r="U41" s="49" t="n"/>
      <c r="V41" s="43" t="n"/>
      <c r="W41" s="65" t="inlineStr">
        <is>
          <t>As per manufacturers curve</t>
        </is>
      </c>
      <c r="X41" s="38" t="n"/>
      <c r="Y41" s="42" t="n"/>
      <c r="Z41" s="38" t="n"/>
    </row>
    <row r="42" ht="22.5" customHeight="1" s="31">
      <c r="A42" s="65">
        <f>A41+1</f>
        <v/>
      </c>
      <c r="B42" s="33" t="n"/>
      <c r="K42" s="52" t="inlineStr">
        <is>
          <t>B</t>
        </is>
      </c>
      <c r="L42" s="38" t="n"/>
      <c r="M42" s="58" t="n"/>
      <c r="N42" s="32" t="n"/>
      <c r="O42" s="57" t="n"/>
      <c r="P42" s="33" t="n"/>
      <c r="V42" s="32" t="n"/>
      <c r="W42" s="65" t="inlineStr">
        <is>
          <t>As per manufacturers curve</t>
        </is>
      </c>
      <c r="X42" s="38" t="n"/>
      <c r="Y42" s="42" t="n"/>
      <c r="Z42" s="38" t="n"/>
    </row>
    <row r="43" ht="22.5" customHeight="1" s="31">
      <c r="A43" s="65">
        <f>A42+1</f>
        <v/>
      </c>
      <c r="B43" s="33" t="n"/>
      <c r="K43" s="52" t="inlineStr">
        <is>
          <t>C</t>
        </is>
      </c>
      <c r="L43" s="38" t="n"/>
      <c r="M43" s="106" t="n">
        <v>0.1</v>
      </c>
      <c r="N43" s="32" t="n"/>
      <c r="O43" s="57" t="n"/>
      <c r="P43" s="33" t="n"/>
      <c r="V43" s="32" t="n"/>
      <c r="W43" s="65" t="inlineStr">
        <is>
          <t>As per manufacturers curve</t>
        </is>
      </c>
      <c r="X43" s="38" t="n"/>
      <c r="Y43" s="42" t="n"/>
      <c r="Z43" s="38" t="n"/>
    </row>
    <row r="44" ht="22.5" customHeight="1" s="31">
      <c r="A44" s="65">
        <f>A43+1</f>
        <v/>
      </c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53" t="inlineStr">
        <is>
          <t>A-B-C</t>
        </is>
      </c>
      <c r="L44" s="38" t="n"/>
      <c r="M44" s="58" t="n"/>
      <c r="N44" s="36" t="n"/>
      <c r="O44" s="58" t="n"/>
      <c r="P44" s="34" t="n"/>
      <c r="Q44" s="35" t="n"/>
      <c r="R44" s="35" t="n"/>
      <c r="S44" s="35" t="n"/>
      <c r="T44" s="35" t="n"/>
      <c r="U44" s="35" t="n"/>
      <c r="V44" s="36" t="n"/>
      <c r="W44" s="65" t="inlineStr">
        <is>
          <t>As per manufacturers curve</t>
        </is>
      </c>
      <c r="X44" s="38" t="n"/>
      <c r="Y44" s="42" t="n"/>
      <c r="Z44" s="38" t="n"/>
    </row>
    <row r="45" ht="22.5" customHeight="1" s="31">
      <c r="A45" s="65">
        <f>A44+1</f>
        <v/>
      </c>
      <c r="B45" s="44" t="inlineStr">
        <is>
          <t>Earth Fault Overcurrent</t>
        </is>
      </c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38" t="n"/>
    </row>
    <row r="46" ht="22.5" customHeight="1" s="31">
      <c r="A46" s="65">
        <f>A45+1</f>
        <v/>
      </c>
      <c r="B46" s="80" t="inlineStr">
        <is>
          <t>IDMT Pickup</t>
        </is>
      </c>
      <c r="C46" s="49" t="n"/>
      <c r="D46" s="49" t="n"/>
      <c r="E46" s="49" t="n"/>
      <c r="F46" s="49" t="n"/>
      <c r="G46" s="49" t="n"/>
      <c r="H46" s="49" t="n"/>
      <c r="I46" s="49" t="n"/>
      <c r="J46" s="43" t="n"/>
      <c r="K46" s="52" t="inlineStr">
        <is>
          <t>A</t>
        </is>
      </c>
      <c r="L46" s="38" t="n"/>
      <c r="M46" s="45" t="n">
        <v>15</v>
      </c>
      <c r="N46" s="63" t="inlineStr">
        <is>
          <t>A</t>
        </is>
      </c>
      <c r="O46" s="54" t="inlineStr">
        <is>
          <t>±</t>
        </is>
      </c>
      <c r="P46" s="99">
        <f>MAX((M46*0.05),(0.005))</f>
        <v/>
      </c>
      <c r="Q46" s="49" t="n"/>
      <c r="R46" s="49" t="n"/>
      <c r="S46" s="49" t="n"/>
      <c r="T46" s="49" t="n"/>
      <c r="U46" s="49" t="n"/>
      <c r="V46" s="43" t="n"/>
      <c r="W46" s="77" t="n"/>
      <c r="X46" s="38" t="n"/>
      <c r="Y46" s="42" t="n"/>
      <c r="Z46" s="38" t="n"/>
    </row>
    <row r="47" ht="22.5" customHeight="1" s="31">
      <c r="A47" s="65">
        <f>A46+1</f>
        <v/>
      </c>
      <c r="B47" s="33" t="n"/>
      <c r="J47" s="32" t="n"/>
      <c r="K47" s="53" t="inlineStr">
        <is>
          <t>B</t>
        </is>
      </c>
      <c r="L47" s="38" t="n"/>
      <c r="M47" s="33" t="n"/>
      <c r="N47" s="32" t="n"/>
      <c r="O47" s="57" t="n"/>
      <c r="P47" s="33" t="n"/>
      <c r="V47" s="32" t="n"/>
      <c r="W47" s="53" t="n"/>
      <c r="X47" s="38" t="n"/>
      <c r="Y47" s="82" t="n"/>
      <c r="Z47" s="38" t="n"/>
    </row>
    <row r="48" ht="22.5" customHeight="1" s="31">
      <c r="A48" s="65">
        <f>A47+1</f>
        <v/>
      </c>
      <c r="B48" s="33" t="n"/>
      <c r="J48" s="32" t="n"/>
      <c r="K48" s="53" t="inlineStr">
        <is>
          <t>C</t>
        </is>
      </c>
      <c r="L48" s="38" t="n"/>
      <c r="M48" s="33" t="n"/>
      <c r="N48" s="32" t="n"/>
      <c r="O48" s="57" t="n"/>
      <c r="P48" s="33" t="n"/>
      <c r="V48" s="32" t="n"/>
      <c r="W48" s="53" t="n"/>
      <c r="X48" s="38" t="n"/>
      <c r="Y48" s="82" t="n"/>
      <c r="Z48" s="38" t="n"/>
    </row>
    <row r="49" ht="22.5" customHeight="1" s="31">
      <c r="A49" s="65">
        <f>A48+1</f>
        <v/>
      </c>
      <c r="B49" s="34" t="n"/>
      <c r="C49" s="35" t="n"/>
      <c r="D49" s="35" t="n"/>
      <c r="E49" s="35" t="n"/>
      <c r="F49" s="35" t="n"/>
      <c r="G49" s="35" t="n"/>
      <c r="H49" s="35" t="n"/>
      <c r="I49" s="35" t="n"/>
      <c r="J49" s="36" t="n"/>
      <c r="K49" s="53" t="inlineStr">
        <is>
          <t>A-B-C</t>
        </is>
      </c>
      <c r="L49" s="38" t="n"/>
      <c r="M49" s="34" t="n"/>
      <c r="N49" s="36" t="n"/>
      <c r="O49" s="58" t="n"/>
      <c r="P49" s="34" t="n"/>
      <c r="Q49" s="35" t="n"/>
      <c r="R49" s="35" t="n"/>
      <c r="S49" s="35" t="n"/>
      <c r="T49" s="35" t="n"/>
      <c r="U49" s="35" t="n"/>
      <c r="V49" s="36" t="n"/>
      <c r="W49" s="53" t="n"/>
      <c r="X49" s="38" t="n"/>
      <c r="Y49" s="82" t="n"/>
      <c r="Z49" s="38" t="n"/>
    </row>
    <row r="50" ht="22.5" customHeight="1" s="31">
      <c r="A50" s="65">
        <f>A49+1</f>
        <v/>
      </c>
      <c r="B50" s="48" t="inlineStr">
        <is>
          <t>High-Set Pickup</t>
        </is>
      </c>
      <c r="C50" s="49" t="n"/>
      <c r="D50" s="49" t="n"/>
      <c r="E50" s="49" t="n"/>
      <c r="F50" s="49" t="n"/>
      <c r="G50" s="49" t="n"/>
      <c r="H50" s="49" t="n"/>
      <c r="I50" s="49" t="n"/>
      <c r="J50" s="49" t="n"/>
      <c r="K50" s="53" t="inlineStr">
        <is>
          <t>A</t>
        </is>
      </c>
      <c r="L50" s="38" t="n"/>
      <c r="M50" s="62" t="n"/>
      <c r="N50" s="107" t="inlineStr">
        <is>
          <t>A</t>
        </is>
      </c>
      <c r="O50" s="105" t="inlineStr">
        <is>
          <t>±</t>
        </is>
      </c>
      <c r="P50" s="64">
        <f>MAX((M50*0.05),(0.005))</f>
        <v/>
      </c>
      <c r="Q50" s="49" t="n"/>
      <c r="R50" s="49" t="n"/>
      <c r="S50" s="49" t="n"/>
      <c r="T50" s="49" t="n"/>
      <c r="U50" s="49" t="n"/>
      <c r="V50" s="43" t="n"/>
      <c r="W50" s="53" t="n"/>
      <c r="X50" s="38" t="n"/>
      <c r="Y50" s="82" t="n"/>
      <c r="Z50" s="38" t="n"/>
    </row>
    <row r="51" ht="22.5" customHeight="1" s="31">
      <c r="A51" s="65">
        <f>A50+1</f>
        <v/>
      </c>
      <c r="B51" s="33" t="n"/>
      <c r="K51" s="53" t="inlineStr">
        <is>
          <t>B</t>
        </is>
      </c>
      <c r="L51" s="38" t="n"/>
      <c r="M51" s="33" t="n"/>
      <c r="N51" s="32" t="n"/>
      <c r="O51" s="57" t="n"/>
      <c r="P51" s="33" t="n"/>
      <c r="V51" s="32" t="n"/>
      <c r="W51" s="53" t="n"/>
      <c r="X51" s="38" t="n"/>
      <c r="Y51" s="82" t="n"/>
      <c r="Z51" s="38" t="n"/>
    </row>
    <row r="52" ht="22.5" customHeight="1" s="31">
      <c r="A52" s="65">
        <f>A51+1</f>
        <v/>
      </c>
      <c r="B52" s="33" t="n"/>
      <c r="K52" s="53" t="inlineStr">
        <is>
          <t>C</t>
        </is>
      </c>
      <c r="L52" s="38" t="n"/>
      <c r="M52" s="88" t="n"/>
      <c r="N52" s="32" t="n"/>
      <c r="O52" s="57" t="n"/>
      <c r="P52" s="33" t="n"/>
      <c r="V52" s="32" t="n"/>
      <c r="W52" s="53" t="n"/>
      <c r="X52" s="38" t="n"/>
      <c r="Y52" s="82" t="n"/>
      <c r="Z52" s="38" t="n"/>
    </row>
    <row r="53" ht="22.5" customHeight="1" s="31">
      <c r="A53" s="65">
        <f>A52+1</f>
        <v/>
      </c>
      <c r="B53" s="34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53" t="inlineStr">
        <is>
          <t>A-B-C</t>
        </is>
      </c>
      <c r="L53" s="38" t="n"/>
      <c r="M53" s="34" t="n"/>
      <c r="N53" s="36" t="n"/>
      <c r="O53" s="58" t="n"/>
      <c r="P53" s="34" t="n"/>
      <c r="Q53" s="35" t="n"/>
      <c r="R53" s="35" t="n"/>
      <c r="S53" s="35" t="n"/>
      <c r="T53" s="35" t="n"/>
      <c r="U53" s="35" t="n"/>
      <c r="V53" s="36" t="n"/>
      <c r="W53" s="53" t="n"/>
      <c r="X53" s="38" t="n"/>
      <c r="Y53" s="82" t="n"/>
      <c r="Z53" s="38" t="n"/>
    </row>
    <row r="54" ht="22.5" customHeight="1" s="31">
      <c r="A54" s="65">
        <f>A53+1</f>
        <v/>
      </c>
      <c r="B54" s="97" t="inlineStr">
        <is>
          <t>Timing Characteristic</t>
        </is>
      </c>
      <c r="C54" s="49" t="n"/>
      <c r="D54" s="49" t="n"/>
      <c r="E54" s="49" t="n"/>
      <c r="F54" s="49" t="n"/>
      <c r="G54" s="49" t="n"/>
      <c r="H54" s="49" t="n"/>
      <c r="I54" s="49" t="n"/>
      <c r="J54" s="49" t="n"/>
      <c r="K54" s="52" t="inlineStr">
        <is>
          <t>A</t>
        </is>
      </c>
      <c r="L54" s="38" t="n"/>
      <c r="M54" s="45" t="inlineStr">
        <is>
          <t>0.00</t>
        </is>
      </c>
      <c r="N54" s="63" t="inlineStr">
        <is>
          <t>s</t>
        </is>
      </c>
      <c r="O54" s="54" t="inlineStr">
        <is>
          <t>±</t>
        </is>
      </c>
      <c r="P54" s="84" t="inlineStr">
        <is>
          <t>IDMT Element
5% or 20ms (Greater of the two)
High-Set Element
1% or 20ms (Greater of the two) + 30ms</t>
        </is>
      </c>
      <c r="Q54" s="49" t="n"/>
      <c r="R54" s="49" t="n"/>
      <c r="S54" s="49" t="n"/>
      <c r="T54" s="49" t="n"/>
      <c r="U54" s="49" t="n"/>
      <c r="V54" s="43" t="n"/>
      <c r="W54" s="65" t="inlineStr">
        <is>
          <t>As per manufacturers curve</t>
        </is>
      </c>
      <c r="X54" s="38" t="n"/>
      <c r="Y54" s="42" t="n"/>
      <c r="Z54" s="38" t="n"/>
    </row>
    <row r="55" ht="22.5" customHeight="1" s="31">
      <c r="A55" s="65">
        <f>A54+1</f>
        <v/>
      </c>
      <c r="B55" s="33" t="n"/>
      <c r="K55" s="53" t="inlineStr">
        <is>
          <t>B</t>
        </is>
      </c>
      <c r="L55" s="38" t="n"/>
      <c r="M55" s="33" t="n"/>
      <c r="N55" s="32" t="n"/>
      <c r="O55" s="57" t="n"/>
      <c r="P55" s="33" t="n"/>
      <c r="V55" s="32" t="n"/>
      <c r="W55" s="53" t="n"/>
      <c r="X55" s="38" t="n"/>
      <c r="Y55" s="82" t="n"/>
      <c r="Z55" s="38" t="n"/>
    </row>
    <row r="56" ht="22.5" customHeight="1" s="31">
      <c r="A56" s="65">
        <f>A55+1</f>
        <v/>
      </c>
      <c r="B56" s="33" t="n"/>
      <c r="K56" s="53" t="inlineStr">
        <is>
          <t>C</t>
        </is>
      </c>
      <c r="L56" s="38" t="n"/>
      <c r="M56" s="33" t="n"/>
      <c r="N56" s="32" t="n"/>
      <c r="O56" s="57" t="n"/>
      <c r="P56" s="33" t="n"/>
      <c r="V56" s="32" t="n"/>
      <c r="W56" s="53" t="n"/>
      <c r="X56" s="38" t="n"/>
      <c r="Y56" s="82" t="n"/>
      <c r="Z56" s="38" t="n"/>
    </row>
    <row r="57" ht="22.5" customHeight="1" s="31">
      <c r="A57" s="65">
        <f>A56+1</f>
        <v/>
      </c>
      <c r="B57" s="34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53" t="inlineStr">
        <is>
          <t>A-B-C</t>
        </is>
      </c>
      <c r="L57" s="38" t="n"/>
      <c r="M57" s="34" t="n"/>
      <c r="N57" s="36" t="n"/>
      <c r="O57" s="58" t="n"/>
      <c r="P57" s="34" t="n"/>
      <c r="Q57" s="35" t="n"/>
      <c r="R57" s="35" t="n"/>
      <c r="S57" s="35" t="n"/>
      <c r="T57" s="35" t="n"/>
      <c r="U57" s="35" t="n"/>
      <c r="V57" s="36" t="n"/>
      <c r="W57" s="53" t="n"/>
      <c r="X57" s="38" t="n"/>
      <c r="Y57" s="82" t="n"/>
      <c r="Z57" s="38" t="n"/>
    </row>
    <row r="58" ht="22.5" customHeight="1" s="31">
      <c r="A58" s="65">
        <f>A57+1</f>
        <v/>
      </c>
      <c r="B58" s="39" t="inlineStr">
        <is>
          <t>Stage 1</t>
        </is>
      </c>
      <c r="C58" s="43" t="n"/>
      <c r="D58" s="55" t="inlineStr">
        <is>
          <t>Pickup</t>
        </is>
      </c>
      <c r="E58" s="41" t="n"/>
      <c r="F58" s="41" t="n"/>
      <c r="G58" s="41" t="n"/>
      <c r="H58" s="41" t="n"/>
      <c r="I58" s="41" t="n"/>
      <c r="J58" s="38" t="n"/>
      <c r="K58" s="39" t="inlineStr">
        <is>
          <t>A-B-C</t>
        </is>
      </c>
      <c r="L58" s="38" t="n"/>
      <c r="M58" s="17" t="inlineStr">
        <is>
          <t>NA</t>
        </is>
      </c>
      <c r="N58" s="18" t="inlineStr">
        <is>
          <t>Hz</t>
        </is>
      </c>
      <c r="O58" s="92" t="inlineStr">
        <is>
          <t>±</t>
        </is>
      </c>
      <c r="P58" s="92" t="n"/>
      <c r="Q58" s="41" t="n"/>
      <c r="R58" s="41" t="n"/>
      <c r="S58" s="41" t="n"/>
      <c r="T58" s="41" t="n"/>
      <c r="U58" s="41" t="n"/>
      <c r="V58" s="38" t="n"/>
      <c r="W58" s="81" t="n"/>
      <c r="X58" s="41" t="n"/>
      <c r="Y58" s="68" t="n"/>
      <c r="Z58" s="38" t="n"/>
    </row>
    <row r="59" ht="22.5" customHeight="1" s="31">
      <c r="A59" s="65">
        <f>A58+1</f>
        <v/>
      </c>
      <c r="B59" s="33" t="n"/>
      <c r="C59" s="32" t="n"/>
      <c r="D59" s="55" t="inlineStr">
        <is>
          <t>Dropoff</t>
        </is>
      </c>
      <c r="E59" s="41" t="n"/>
      <c r="F59" s="41" t="n"/>
      <c r="G59" s="41" t="n"/>
      <c r="H59" s="41" t="n"/>
      <c r="I59" s="41" t="n"/>
      <c r="J59" s="38" t="n"/>
      <c r="K59" s="39" t="inlineStr">
        <is>
          <t>A-B-C</t>
        </is>
      </c>
      <c r="L59" s="38" t="n"/>
      <c r="M59" s="20" t="inlineStr">
        <is>
          <t>NA</t>
        </is>
      </c>
      <c r="N59" s="18" t="inlineStr">
        <is>
          <t>Hz</t>
        </is>
      </c>
      <c r="O59" s="92" t="inlineStr">
        <is>
          <t>±</t>
        </is>
      </c>
      <c r="P59" s="92" t="n"/>
      <c r="Q59" s="41" t="n"/>
      <c r="R59" s="41" t="n"/>
      <c r="S59" s="41" t="n"/>
      <c r="T59" s="41" t="n"/>
      <c r="U59" s="41" t="n"/>
      <c r="V59" s="38" t="n"/>
      <c r="W59" s="81" t="n"/>
      <c r="X59" s="41" t="n"/>
      <c r="Y59" s="68" t="n"/>
      <c r="Z59" s="38" t="n"/>
    </row>
    <row r="60" ht="22.5" customHeight="1" s="31">
      <c r="A60" s="65">
        <f>A59+1</f>
        <v/>
      </c>
      <c r="B60" s="34" t="n"/>
      <c r="C60" s="36" t="n"/>
      <c r="D60" s="55" t="inlineStr">
        <is>
          <t>Timing</t>
        </is>
      </c>
      <c r="E60" s="41" t="n"/>
      <c r="F60" s="41" t="n"/>
      <c r="G60" s="41" t="n"/>
      <c r="H60" s="41" t="n"/>
      <c r="I60" s="41" t="n"/>
      <c r="J60" s="38" t="n"/>
      <c r="K60" s="39" t="inlineStr">
        <is>
          <t>A-B-C</t>
        </is>
      </c>
      <c r="L60" s="38" t="n"/>
      <c r="M60" s="20" t="inlineStr">
        <is>
          <t>NA</t>
        </is>
      </c>
      <c r="N60" s="21" t="inlineStr">
        <is>
          <t>s</t>
        </is>
      </c>
      <c r="O60" s="92" t="inlineStr">
        <is>
          <t>±</t>
        </is>
      </c>
      <c r="P60" s="92" t="n"/>
      <c r="Q60" s="41" t="n"/>
      <c r="R60" s="41" t="n"/>
      <c r="S60" s="41" t="n"/>
      <c r="T60" s="41" t="n"/>
      <c r="U60" s="41" t="n"/>
      <c r="V60" s="38" t="n"/>
      <c r="W60" s="81" t="n"/>
      <c r="X60" s="41" t="n"/>
      <c r="Y60" s="68" t="n"/>
      <c r="Z60" s="38" t="n"/>
    </row>
    <row r="61" ht="22.5" customHeight="1" s="31">
      <c r="A61" s="65">
        <f>A60+1</f>
        <v/>
      </c>
      <c r="B61" s="44" t="inlineStr">
        <is>
          <t>Circuit Breaker Fail</t>
        </is>
      </c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38" t="n"/>
    </row>
    <row r="62" ht="22.5" customHeight="1" s="31">
      <c r="A62" s="65">
        <f>A61+1</f>
        <v/>
      </c>
      <c r="B62" s="55" t="inlineStr">
        <is>
          <t>Current Check Pickup Phase</t>
        </is>
      </c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38" t="n"/>
      <c r="M62" s="22" t="n"/>
      <c r="N62" s="23" t="inlineStr">
        <is>
          <t>x IN</t>
        </is>
      </c>
      <c r="O62" s="92" t="inlineStr">
        <is>
          <t>±</t>
        </is>
      </c>
      <c r="P62" s="61">
        <f>MAX((M62*0.02),(1*0.01))</f>
        <v/>
      </c>
      <c r="Q62" s="41" t="n"/>
      <c r="R62" s="41" t="n"/>
      <c r="S62" s="41" t="n"/>
      <c r="T62" s="41" t="n"/>
      <c r="U62" s="41" t="n"/>
      <c r="V62" s="38" t="n"/>
      <c r="W62" s="81" t="n"/>
      <c r="X62" s="41" t="n"/>
      <c r="Y62" s="68" t="n"/>
      <c r="Z62" s="38" t="n"/>
    </row>
    <row r="63" ht="22.5" customHeight="1" s="31">
      <c r="A63" s="65">
        <f>A62+1</f>
        <v/>
      </c>
      <c r="B63" s="55" t="inlineStr">
        <is>
          <t>Current Check Pickup Ground</t>
        </is>
      </c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38" t="n"/>
      <c r="M63" s="22" t="n"/>
      <c r="N63" s="23" t="inlineStr">
        <is>
          <t>x IN</t>
        </is>
      </c>
      <c r="O63" s="92" t="inlineStr">
        <is>
          <t>±</t>
        </is>
      </c>
      <c r="P63" s="61">
        <f>MAX((M63*0.02),(1*0.01))</f>
        <v/>
      </c>
      <c r="Q63" s="41" t="n"/>
      <c r="R63" s="41" t="n"/>
      <c r="S63" s="41" t="n"/>
      <c r="T63" s="41" t="n"/>
      <c r="U63" s="41" t="n"/>
      <c r="V63" s="38" t="n"/>
      <c r="W63" s="81" t="n"/>
      <c r="X63" s="41" t="n"/>
      <c r="Y63" s="68" t="n"/>
      <c r="Z63" s="38" t="n"/>
    </row>
    <row r="64" ht="22.5" customHeight="1" s="31">
      <c r="A64" s="65">
        <f>A63+1</f>
        <v/>
      </c>
      <c r="B64" s="55" t="inlineStr">
        <is>
          <t>Operate Time</t>
        </is>
      </c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38" t="n"/>
      <c r="M64" s="22" t="n"/>
      <c r="N64" s="23" t="inlineStr">
        <is>
          <t>ms</t>
        </is>
      </c>
      <c r="O64" s="92" t="inlineStr">
        <is>
          <t>±</t>
        </is>
      </c>
      <c r="P64" s="61">
        <f>MAX(10,M64*0.01)</f>
        <v/>
      </c>
      <c r="Q64" s="41" t="n"/>
      <c r="R64" s="41" t="n"/>
      <c r="S64" s="41" t="n"/>
      <c r="T64" s="41" t="n"/>
      <c r="U64" s="41" t="n"/>
      <c r="V64" s="38" t="n"/>
      <c r="W64" s="81" t="n"/>
      <c r="X64" s="41" t="n"/>
      <c r="Y64" s="68" t="n"/>
      <c r="Z64" s="38" t="n"/>
    </row>
    <row r="65" ht="22.5" customHeight="1" s="31">
      <c r="A65" s="65">
        <f>A64+1</f>
        <v/>
      </c>
      <c r="B65" s="44" t="inlineStr">
        <is>
          <t>Other Settings</t>
        </is>
      </c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38" t="n"/>
    </row>
    <row r="66" ht="22.5" customHeight="1" s="31">
      <c r="A66" s="65">
        <f>A65+1</f>
        <v/>
      </c>
      <c r="B66" s="40" t="inlineStr">
        <is>
          <t>Logic</t>
        </is>
      </c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38" t="n"/>
      <c r="M66" s="44" t="inlineStr">
        <is>
          <t>Correct as per logic drawing</t>
        </is>
      </c>
      <c r="N66" s="41" t="n"/>
      <c r="O66" s="41" t="n"/>
      <c r="P66" s="41" t="n"/>
      <c r="Q66" s="41" t="n"/>
      <c r="R66" s="41" t="n"/>
      <c r="S66" s="41" t="n"/>
      <c r="T66" s="41" t="n"/>
      <c r="U66" s="41" t="n"/>
      <c r="V66" s="38" t="n"/>
      <c r="W66" s="42" t="n"/>
      <c r="X66" s="38" t="n"/>
      <c r="Y66" s="42" t="n"/>
      <c r="Z66" s="38" t="n"/>
    </row>
    <row r="67" ht="22.5" customHeight="1" s="31">
      <c r="A67" s="65">
        <f>A66+1</f>
        <v/>
      </c>
      <c r="B67" s="40" t="inlineStr">
        <is>
          <t>LEDs</t>
        </is>
      </c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38" t="n"/>
      <c r="M67" s="44" t="inlineStr">
        <is>
          <t>Correct as per logic drawing</t>
        </is>
      </c>
      <c r="N67" s="41" t="n"/>
      <c r="O67" s="41" t="n"/>
      <c r="P67" s="41" t="n"/>
      <c r="Q67" s="41" t="n"/>
      <c r="R67" s="41" t="n"/>
      <c r="S67" s="41" t="n"/>
      <c r="T67" s="41" t="n"/>
      <c r="U67" s="41" t="n"/>
      <c r="V67" s="38" t="n"/>
      <c r="W67" s="42" t="n"/>
      <c r="X67" s="38" t="n"/>
      <c r="Y67" s="42" t="n"/>
      <c r="Z67" s="38" t="n"/>
    </row>
    <row r="68" ht="22.5" customHeight="1" s="31">
      <c r="A68" s="65">
        <f>A67+1</f>
        <v/>
      </c>
      <c r="B68" s="87" t="inlineStr">
        <is>
          <t>RMU</t>
        </is>
      </c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38" t="n"/>
      <c r="M68" s="60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38" t="n"/>
      <c r="W68" s="71" t="n"/>
      <c r="X68" s="38" t="n"/>
      <c r="Y68" s="71" t="n"/>
      <c r="Z68" s="38" t="n"/>
    </row>
    <row r="69" ht="22.5" customHeight="1" s="31">
      <c r="A69" s="65">
        <f>A68+1</f>
        <v/>
      </c>
      <c r="B69" s="70" t="inlineStr">
        <is>
          <t xml:space="preserve">Nameplate Photo:
</t>
        </is>
      </c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3" t="n"/>
      <c r="M69" s="98" t="inlineStr">
        <is>
          <t>Matches:
-Purchase Order
-Functional Design Specification</t>
        </is>
      </c>
      <c r="N69" s="49" t="n"/>
      <c r="O69" s="49" t="n"/>
      <c r="P69" s="49" t="n"/>
      <c r="Q69" s="49" t="n"/>
      <c r="R69" s="49" t="n"/>
      <c r="S69" s="49" t="n"/>
      <c r="T69" s="49" t="n"/>
      <c r="U69" s="49" t="n"/>
      <c r="V69" s="43" t="n"/>
      <c r="W69" s="47" t="n"/>
      <c r="X69" s="43" t="n"/>
      <c r="Y69" s="47" t="n"/>
      <c r="Z69" s="43" t="n"/>
    </row>
    <row r="70" ht="22.5" customHeight="1" s="31">
      <c r="A70" s="65">
        <f>A69+1</f>
        <v/>
      </c>
      <c r="B70" s="95" t="n"/>
      <c r="L70" s="32" t="n"/>
      <c r="M70" s="33" t="n"/>
      <c r="V70" s="32" t="n"/>
      <c r="W70" s="33" t="n"/>
      <c r="X70" s="32" t="n"/>
      <c r="Y70" s="33" t="n"/>
      <c r="Z70" s="32" t="n"/>
    </row>
    <row r="71" ht="22.5" customHeight="1" s="31">
      <c r="A71" s="65">
        <f>A70+1</f>
        <v/>
      </c>
      <c r="B71" s="33" t="n"/>
      <c r="L71" s="32" t="n"/>
      <c r="M71" s="33" t="n"/>
      <c r="V71" s="32" t="n"/>
      <c r="W71" s="33" t="n"/>
      <c r="X71" s="32" t="n"/>
      <c r="Y71" s="33" t="n"/>
      <c r="Z71" s="32" t="n"/>
    </row>
    <row r="72" ht="22.5" customHeight="1" s="31">
      <c r="A72" s="65">
        <f>A71+1</f>
        <v/>
      </c>
      <c r="B72" s="33" t="n"/>
      <c r="L72" s="32" t="n"/>
      <c r="M72" s="33" t="n"/>
      <c r="V72" s="32" t="n"/>
      <c r="W72" s="33" t="n"/>
      <c r="X72" s="32" t="n"/>
      <c r="Y72" s="33" t="n"/>
      <c r="Z72" s="32" t="n"/>
    </row>
    <row r="73" ht="22.5" customHeight="1" s="31">
      <c r="A73" s="65">
        <f>A72+1</f>
        <v/>
      </c>
      <c r="B73" s="34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6" t="n"/>
      <c r="M73" s="33" t="n"/>
      <c r="V73" s="32" t="n"/>
      <c r="W73" s="34" t="n"/>
      <c r="X73" s="36" t="n"/>
      <c r="Y73" s="34" t="n"/>
      <c r="Z73" s="36" t="n"/>
    </row>
    <row r="74" ht="22.5" customHeight="1" s="31">
      <c r="A74" s="65">
        <f>A73+1</f>
        <v/>
      </c>
      <c r="B74" s="44" t="inlineStr">
        <is>
          <t>Mechanical Operations</t>
        </is>
      </c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38" t="n"/>
    </row>
    <row r="75" ht="22.5" customHeight="1" s="31">
      <c r="A75" s="65">
        <f>A74+1</f>
        <v/>
      </c>
      <c r="B75" s="40" t="inlineStr">
        <is>
          <t>RMU 111-1 Disconnector OPEN / CLOSE</t>
        </is>
      </c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38" t="n"/>
      <c r="M75" s="54" t="inlineStr">
        <is>
          <t>RMU SEMAPHORES OPERATE</t>
        </is>
      </c>
      <c r="N75" s="41" t="n"/>
      <c r="O75" s="41" t="n"/>
      <c r="P75" s="41" t="n"/>
      <c r="Q75" s="41" t="n"/>
      <c r="R75" s="41" t="n"/>
      <c r="S75" s="41" t="n"/>
      <c r="T75" s="41" t="n"/>
      <c r="U75" s="41" t="n"/>
      <c r="V75" s="38" t="n"/>
      <c r="W75" s="47" t="n"/>
      <c r="X75" s="38" t="n"/>
      <c r="Y75" s="42" t="n"/>
      <c r="Z75" s="38" t="n"/>
    </row>
    <row r="76" ht="22.5" customHeight="1" s="31">
      <c r="A76" s="65">
        <f>A75+1</f>
        <v/>
      </c>
      <c r="B76" s="40" t="inlineStr">
        <is>
          <t>RMU 111-1 Earth Switch OPEN / CLOSE</t>
        </is>
      </c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38" t="n"/>
      <c r="M76" s="54" t="inlineStr">
        <is>
          <t>RMU SEMAPHORES OPERATE</t>
        </is>
      </c>
      <c r="N76" s="41" t="n"/>
      <c r="O76" s="41" t="n"/>
      <c r="P76" s="41" t="n"/>
      <c r="Q76" s="41" t="n"/>
      <c r="R76" s="41" t="n"/>
      <c r="S76" s="41" t="n"/>
      <c r="T76" s="41" t="n"/>
      <c r="U76" s="41" t="n"/>
      <c r="V76" s="38" t="n"/>
      <c r="W76" s="47" t="n"/>
      <c r="X76" s="38" t="n"/>
      <c r="Y76" s="42" t="n"/>
      <c r="Z76" s="38" t="n"/>
    </row>
    <row r="77" ht="22.5" customHeight="1" s="31">
      <c r="A77" s="65">
        <f>A76+1</f>
        <v/>
      </c>
      <c r="B77" s="40" t="inlineStr">
        <is>
          <t>RMU 112-1 Disconnector OPEN / CLOSE</t>
        </is>
      </c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38" t="n"/>
      <c r="M77" s="54" t="inlineStr">
        <is>
          <t>RMU SEMAPHORES OPERATE</t>
        </is>
      </c>
      <c r="N77" s="41" t="n"/>
      <c r="O77" s="41" t="n"/>
      <c r="P77" s="41" t="n"/>
      <c r="Q77" s="41" t="n"/>
      <c r="R77" s="41" t="n"/>
      <c r="S77" s="41" t="n"/>
      <c r="T77" s="41" t="n"/>
      <c r="U77" s="41" t="n"/>
      <c r="V77" s="38" t="n"/>
      <c r="W77" s="47" t="n"/>
      <c r="X77" s="38" t="n"/>
      <c r="Y77" s="42" t="n"/>
      <c r="Z77" s="38" t="n"/>
    </row>
    <row r="78" ht="22.5" customHeight="1" s="31">
      <c r="A78" s="65">
        <f>A77+1</f>
        <v/>
      </c>
      <c r="B78" s="40" t="inlineStr">
        <is>
          <t>RMU 112-1 Earth Switch OPEN / CLOSE</t>
        </is>
      </c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38" t="n"/>
      <c r="M78" s="54" t="inlineStr">
        <is>
          <t>RMU SEMAPHORES OPERATE</t>
        </is>
      </c>
      <c r="N78" s="41" t="n"/>
      <c r="O78" s="41" t="n"/>
      <c r="P78" s="41" t="n"/>
      <c r="Q78" s="41" t="n"/>
      <c r="R78" s="41" t="n"/>
      <c r="S78" s="41" t="n"/>
      <c r="T78" s="41" t="n"/>
      <c r="U78" s="41" t="n"/>
      <c r="V78" s="38" t="n"/>
      <c r="W78" s="47" t="n"/>
      <c r="X78" s="38" t="n"/>
      <c r="Y78" s="42" t="n"/>
      <c r="Z78" s="38" t="n"/>
    </row>
    <row r="79" ht="22.5" customHeight="1" s="31">
      <c r="A79" s="65">
        <f>A78+1</f>
        <v/>
      </c>
      <c r="B79" s="40" t="inlineStr">
        <is>
          <t>RMU 113-1 Disconnector OPEN / CLOSE</t>
        </is>
      </c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38" t="n"/>
      <c r="M79" s="54" t="inlineStr">
        <is>
          <t>RMU SEMAPHORES OPERATE</t>
        </is>
      </c>
      <c r="N79" s="41" t="n"/>
      <c r="O79" s="41" t="n"/>
      <c r="P79" s="41" t="n"/>
      <c r="Q79" s="41" t="n"/>
      <c r="R79" s="41" t="n"/>
      <c r="S79" s="41" t="n"/>
      <c r="T79" s="41" t="n"/>
      <c r="U79" s="41" t="n"/>
      <c r="V79" s="38" t="n"/>
      <c r="W79" s="47" t="n"/>
      <c r="X79" s="38" t="n"/>
      <c r="Y79" s="42" t="n"/>
      <c r="Z79" s="38" t="n"/>
    </row>
    <row r="80" ht="22.5" customHeight="1" s="31">
      <c r="A80" s="65">
        <f>A79+1</f>
        <v/>
      </c>
      <c r="B80" s="40" t="inlineStr">
        <is>
          <t>RMU 113-1 Earth Switch OPEN / CLOSE</t>
        </is>
      </c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38" t="n"/>
      <c r="M80" s="54" t="inlineStr">
        <is>
          <t>RMU SEMAPHORES OPERATE</t>
        </is>
      </c>
      <c r="N80" s="41" t="n"/>
      <c r="O80" s="41" t="n"/>
      <c r="P80" s="41" t="n"/>
      <c r="Q80" s="41" t="n"/>
      <c r="R80" s="41" t="n"/>
      <c r="S80" s="41" t="n"/>
      <c r="T80" s="41" t="n"/>
      <c r="U80" s="41" t="n"/>
      <c r="V80" s="38" t="n"/>
      <c r="W80" s="47" t="n"/>
      <c r="X80" s="38" t="n"/>
      <c r="Y80" s="42" t="n"/>
      <c r="Z80" s="38" t="n"/>
    </row>
    <row r="81" ht="22.5" customHeight="1" s="31">
      <c r="A81" s="65">
        <f>A80+1</f>
        <v/>
      </c>
      <c r="B81" s="44" t="inlineStr">
        <is>
          <t>Interlock Test</t>
        </is>
      </c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38" t="n"/>
    </row>
    <row r="82" ht="22.5" customHeight="1" s="31">
      <c r="A82" s="65">
        <f>A81+1</f>
        <v/>
      </c>
      <c r="B82" s="40" t="inlineStr">
        <is>
          <t>RMU 111-1 Disconnector CLOSE</t>
        </is>
      </c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38" t="n"/>
      <c r="M82" s="54" t="inlineStr">
        <is>
          <t>RMU 111-1 Earth Switch  BLOCKED</t>
        </is>
      </c>
      <c r="N82" s="49" t="n"/>
      <c r="O82" s="49" t="n"/>
      <c r="P82" s="49" t="n"/>
      <c r="Q82" s="49" t="n"/>
      <c r="R82" s="49" t="n"/>
      <c r="S82" s="49" t="n"/>
      <c r="T82" s="49" t="n"/>
      <c r="U82" s="49" t="n"/>
      <c r="V82" s="43" t="n"/>
      <c r="W82" s="47" t="n"/>
      <c r="X82" s="43" t="n"/>
      <c r="Y82" s="47" t="n"/>
      <c r="Z82" s="43" t="n"/>
    </row>
    <row r="83" ht="22.5" customHeight="1" s="31">
      <c r="A83" s="65">
        <f>A82+1</f>
        <v/>
      </c>
      <c r="B83" s="40" t="inlineStr">
        <is>
          <t xml:space="preserve">RMU 111-1 Earth Switch OPEN </t>
        </is>
      </c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38" t="n"/>
      <c r="M83" s="34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6" t="n"/>
      <c r="W83" s="34" t="n"/>
      <c r="X83" s="36" t="n"/>
      <c r="Y83" s="34" t="n"/>
      <c r="Z83" s="36" t="n"/>
    </row>
    <row r="84" ht="22.5" customHeight="1" s="31">
      <c r="A84" s="65">
        <f>A83+1</f>
        <v/>
      </c>
      <c r="B84" s="40" t="inlineStr">
        <is>
          <t>RMU 111-1 Disconnector CLOSE</t>
        </is>
      </c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38" t="n"/>
      <c r="M84" s="54" t="inlineStr">
        <is>
          <t>RMU 111-1 Cable Cubicle BLOCKED</t>
        </is>
      </c>
      <c r="N84" s="49" t="n"/>
      <c r="O84" s="49" t="n"/>
      <c r="P84" s="49" t="n"/>
      <c r="Q84" s="49" t="n"/>
      <c r="R84" s="49" t="n"/>
      <c r="S84" s="49" t="n"/>
      <c r="T84" s="49" t="n"/>
      <c r="U84" s="49" t="n"/>
      <c r="V84" s="43" t="n"/>
      <c r="W84" s="47" t="n"/>
      <c r="X84" s="43" t="n"/>
      <c r="Y84" s="47" t="n"/>
      <c r="Z84" s="43" t="n"/>
    </row>
    <row r="85" ht="22.5" customHeight="1" s="31">
      <c r="A85" s="65">
        <f>A84+1</f>
        <v/>
      </c>
      <c r="B85" s="40" t="inlineStr">
        <is>
          <t xml:space="preserve">RMU 111-1 Earth Switch OPEN </t>
        </is>
      </c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38" t="n"/>
      <c r="M85" s="34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6" t="n"/>
      <c r="W85" s="34" t="n"/>
      <c r="X85" s="36" t="n"/>
      <c r="Y85" s="34" t="n"/>
      <c r="Z85" s="36" t="n"/>
    </row>
    <row r="86" ht="22.5" customHeight="1" s="31">
      <c r="A86" s="65">
        <f>A85+1</f>
        <v/>
      </c>
      <c r="B86" s="40" t="inlineStr">
        <is>
          <t>RMU 111-1 Disconnector OPEN</t>
        </is>
      </c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38" t="n"/>
      <c r="M86" s="54" t="inlineStr">
        <is>
          <t>RMU 111-1 Disconnector  BLOCKED</t>
        </is>
      </c>
      <c r="N86" s="49" t="n"/>
      <c r="O86" s="49" t="n"/>
      <c r="P86" s="49" t="n"/>
      <c r="Q86" s="49" t="n"/>
      <c r="R86" s="49" t="n"/>
      <c r="S86" s="49" t="n"/>
      <c r="T86" s="49" t="n"/>
      <c r="U86" s="49" t="n"/>
      <c r="V86" s="43" t="n"/>
      <c r="W86" s="47" t="n"/>
      <c r="X86" s="43" t="n"/>
      <c r="Y86" s="47" t="n"/>
      <c r="Z86" s="43" t="n"/>
    </row>
    <row r="87" ht="22.5" customHeight="1" s="31">
      <c r="A87" s="65">
        <f>A86+1</f>
        <v/>
      </c>
      <c r="B87" s="40" t="inlineStr">
        <is>
          <t>RMU 111-1 Earth Switch CLOSED</t>
        </is>
      </c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38" t="n"/>
      <c r="M87" s="34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6" t="n"/>
      <c r="W87" s="34" t="n"/>
      <c r="X87" s="36" t="n"/>
      <c r="Y87" s="34" t="n"/>
      <c r="Z87" s="36" t="n"/>
    </row>
    <row r="88" ht="22.5" customHeight="1" s="31">
      <c r="A88" s="65">
        <f>A87+1</f>
        <v/>
      </c>
      <c r="B88" s="40" t="inlineStr">
        <is>
          <t>RMU 111-1 Disconnector OPEN</t>
        </is>
      </c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38" t="n"/>
      <c r="M88" s="54" t="inlineStr">
        <is>
          <t>RMU 111-1 Cable Cubicle OPEN</t>
        </is>
      </c>
      <c r="N88" s="49" t="n"/>
      <c r="O88" s="49" t="n"/>
      <c r="P88" s="49" t="n"/>
      <c r="Q88" s="49" t="n"/>
      <c r="R88" s="49" t="n"/>
      <c r="S88" s="49" t="n"/>
      <c r="T88" s="49" t="n"/>
      <c r="U88" s="49" t="n"/>
      <c r="V88" s="43" t="n"/>
      <c r="W88" s="47" t="n"/>
      <c r="X88" s="43" t="n"/>
      <c r="Y88" s="47" t="n"/>
      <c r="Z88" s="43" t="n"/>
    </row>
    <row r="89" ht="22.5" customHeight="1" s="31">
      <c r="A89" s="65">
        <f>A88+1</f>
        <v/>
      </c>
      <c r="B89" s="40" t="inlineStr">
        <is>
          <t>RMU 111-1 Earth Switch CLOSED</t>
        </is>
      </c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38" t="n"/>
      <c r="M89" s="34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6" t="n"/>
      <c r="W89" s="34" t="n"/>
      <c r="X89" s="36" t="n"/>
      <c r="Y89" s="34" t="n"/>
      <c r="Z89" s="36" t="n"/>
    </row>
    <row r="90" ht="22.5" customHeight="1" s="31">
      <c r="A90" s="65">
        <f>A89+1</f>
        <v/>
      </c>
      <c r="B90" s="40" t="inlineStr">
        <is>
          <t>RMU 112-1 Disconnector CLOSE</t>
        </is>
      </c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38" t="n"/>
      <c r="M90" s="54" t="inlineStr">
        <is>
          <t>RMU 112-1 Earth Switch  BLOCKED</t>
        </is>
      </c>
      <c r="N90" s="49" t="n"/>
      <c r="O90" s="49" t="n"/>
      <c r="P90" s="49" t="n"/>
      <c r="Q90" s="49" t="n"/>
      <c r="R90" s="49" t="n"/>
      <c r="S90" s="49" t="n"/>
      <c r="T90" s="49" t="n"/>
      <c r="U90" s="49" t="n"/>
      <c r="V90" s="43" t="n"/>
      <c r="W90" s="47" t="n"/>
      <c r="X90" s="43" t="n"/>
      <c r="Y90" s="47" t="n"/>
      <c r="Z90" s="43" t="n"/>
    </row>
    <row r="91" ht="22.5" customHeight="1" s="31">
      <c r="A91" s="65">
        <f>A90+1</f>
        <v/>
      </c>
      <c r="B91" s="40" t="inlineStr">
        <is>
          <t xml:space="preserve">RMU 112-1 Earth Switch OPEN </t>
        </is>
      </c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38" t="n"/>
      <c r="M91" s="34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6" t="n"/>
      <c r="W91" s="34" t="n"/>
      <c r="X91" s="36" t="n"/>
      <c r="Y91" s="34" t="n"/>
      <c r="Z91" s="36" t="n"/>
    </row>
    <row r="92" ht="22.5" customHeight="1" s="31">
      <c r="A92" s="65">
        <f>A91+1</f>
        <v/>
      </c>
      <c r="B92" s="40" t="inlineStr">
        <is>
          <t>RMU 112-1 Disconnector CLOSE</t>
        </is>
      </c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38" t="n"/>
      <c r="M92" s="54" t="inlineStr">
        <is>
          <t>RMU 112-1 Cable Cubicle BLOCKED</t>
        </is>
      </c>
      <c r="N92" s="49" t="n"/>
      <c r="O92" s="49" t="n"/>
      <c r="P92" s="49" t="n"/>
      <c r="Q92" s="49" t="n"/>
      <c r="R92" s="49" t="n"/>
      <c r="S92" s="49" t="n"/>
      <c r="T92" s="49" t="n"/>
      <c r="U92" s="49" t="n"/>
      <c r="V92" s="43" t="n"/>
      <c r="W92" s="47" t="n"/>
      <c r="X92" s="43" t="n"/>
      <c r="Y92" s="47" t="n"/>
      <c r="Z92" s="43" t="n"/>
    </row>
    <row r="93" ht="22.5" customHeight="1" s="31">
      <c r="A93" s="65">
        <f>A92+1</f>
        <v/>
      </c>
      <c r="B93" s="40" t="inlineStr">
        <is>
          <t xml:space="preserve">RMU 112-1 Earth Switch OPEN </t>
        </is>
      </c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38" t="n"/>
      <c r="M93" s="34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6" t="n"/>
      <c r="W93" s="34" t="n"/>
      <c r="X93" s="36" t="n"/>
      <c r="Y93" s="34" t="n"/>
      <c r="Z93" s="36" t="n"/>
    </row>
    <row r="94" ht="22.5" customHeight="1" s="31">
      <c r="A94" s="65">
        <f>A93+1</f>
        <v/>
      </c>
      <c r="B94" s="40" t="inlineStr">
        <is>
          <t>RMU 112-1 Disconnector OPEN</t>
        </is>
      </c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38" t="n"/>
      <c r="M94" s="54" t="inlineStr">
        <is>
          <t>RMU 112-1 Disconnector  BLOCKED</t>
        </is>
      </c>
      <c r="N94" s="49" t="n"/>
      <c r="O94" s="49" t="n"/>
      <c r="P94" s="49" t="n"/>
      <c r="Q94" s="49" t="n"/>
      <c r="R94" s="49" t="n"/>
      <c r="S94" s="49" t="n"/>
      <c r="T94" s="49" t="n"/>
      <c r="U94" s="49" t="n"/>
      <c r="V94" s="43" t="n"/>
      <c r="W94" s="47" t="n"/>
      <c r="X94" s="43" t="n"/>
      <c r="Y94" s="47" t="n"/>
      <c r="Z94" s="43" t="n"/>
    </row>
    <row r="95" ht="22.5" customHeight="1" s="31">
      <c r="A95" s="65">
        <f>A94+1</f>
        <v/>
      </c>
      <c r="B95" s="40" t="inlineStr">
        <is>
          <t>RMU 112-1 Earth Switch CLOSED</t>
        </is>
      </c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38" t="n"/>
      <c r="M95" s="34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6" t="n"/>
      <c r="W95" s="34" t="n"/>
      <c r="X95" s="36" t="n"/>
      <c r="Y95" s="34" t="n"/>
      <c r="Z95" s="36" t="n"/>
    </row>
    <row r="96" ht="22.5" customHeight="1" s="31">
      <c r="A96" s="65">
        <f>A95+1</f>
        <v/>
      </c>
      <c r="B96" s="40" t="inlineStr">
        <is>
          <t>RMU 112-1 Disconnector OPEN</t>
        </is>
      </c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38" t="n"/>
      <c r="M96" s="54" t="inlineStr">
        <is>
          <t>RMU 112-1 Cable Cubicle OPEN</t>
        </is>
      </c>
      <c r="N96" s="49" t="n"/>
      <c r="O96" s="49" t="n"/>
      <c r="P96" s="49" t="n"/>
      <c r="Q96" s="49" t="n"/>
      <c r="R96" s="49" t="n"/>
      <c r="S96" s="49" t="n"/>
      <c r="T96" s="49" t="n"/>
      <c r="U96" s="49" t="n"/>
      <c r="V96" s="43" t="n"/>
      <c r="W96" s="47" t="n"/>
      <c r="X96" s="43" t="n"/>
      <c r="Y96" s="47" t="n"/>
      <c r="Z96" s="43" t="n"/>
    </row>
    <row r="97" ht="22.5" customHeight="1" s="31">
      <c r="A97" s="65">
        <f>A96+1</f>
        <v/>
      </c>
      <c r="B97" s="40" t="inlineStr">
        <is>
          <t>RMU 112-1 Earth Switch CLOSED</t>
        </is>
      </c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38" t="n"/>
      <c r="M97" s="34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6" t="n"/>
      <c r="W97" s="34" t="n"/>
      <c r="X97" s="36" t="n"/>
      <c r="Y97" s="34" t="n"/>
      <c r="Z97" s="36" t="n"/>
    </row>
    <row r="98" ht="22.5" customHeight="1" s="31">
      <c r="A98" s="65">
        <f>A97+1</f>
        <v/>
      </c>
      <c r="B98" s="40" t="inlineStr">
        <is>
          <t>RMU 113-1 Disconnector CLOSE</t>
        </is>
      </c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38" t="n"/>
      <c r="M98" s="54" t="inlineStr">
        <is>
          <t>RMU 113-1 Earth Switch  BLOCKED</t>
        </is>
      </c>
      <c r="N98" s="49" t="n"/>
      <c r="O98" s="49" t="n"/>
      <c r="P98" s="49" t="n"/>
      <c r="Q98" s="49" t="n"/>
      <c r="R98" s="49" t="n"/>
      <c r="S98" s="49" t="n"/>
      <c r="T98" s="49" t="n"/>
      <c r="U98" s="49" t="n"/>
      <c r="V98" s="43" t="n"/>
      <c r="W98" s="47" t="n"/>
      <c r="X98" s="43" t="n"/>
      <c r="Y98" s="47" t="n"/>
      <c r="Z98" s="43" t="n"/>
    </row>
    <row r="99" ht="22.5" customHeight="1" s="31">
      <c r="A99" s="65">
        <f>A98+1</f>
        <v/>
      </c>
      <c r="B99" s="40" t="inlineStr">
        <is>
          <t xml:space="preserve">RMU 113-1 Earth Switch OPEN </t>
        </is>
      </c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38" t="n"/>
      <c r="M99" s="34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6" t="n"/>
      <c r="W99" s="34" t="n"/>
      <c r="X99" s="36" t="n"/>
      <c r="Y99" s="34" t="n"/>
      <c r="Z99" s="36" t="n"/>
    </row>
    <row r="100" ht="22.5" customHeight="1" s="31">
      <c r="A100" s="65">
        <f>A99+1</f>
        <v/>
      </c>
      <c r="B100" s="40" t="inlineStr">
        <is>
          <t>RMU 113-1 Disconnector CLOSE</t>
        </is>
      </c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38" t="n"/>
      <c r="M100" s="54" t="inlineStr">
        <is>
          <t>RMU 113-1 Cable Cubicle BLOCKED</t>
        </is>
      </c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3" t="n"/>
      <c r="W100" s="47" t="n"/>
      <c r="X100" s="43" t="n"/>
      <c r="Y100" s="47" t="n"/>
      <c r="Z100" s="43" t="n"/>
    </row>
    <row r="101" ht="22.5" customHeight="1" s="31">
      <c r="A101" s="65">
        <f>A100+1</f>
        <v/>
      </c>
      <c r="B101" s="40" t="inlineStr">
        <is>
          <t xml:space="preserve">RMU 113-1 Earth Switch OPEN </t>
        </is>
      </c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38" t="n"/>
      <c r="M101" s="34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6" t="n"/>
      <c r="W101" s="34" t="n"/>
      <c r="X101" s="36" t="n"/>
      <c r="Y101" s="34" t="n"/>
      <c r="Z101" s="36" t="n"/>
    </row>
    <row r="102" ht="22.5" customHeight="1" s="31">
      <c r="A102" s="65">
        <f>A101+1</f>
        <v/>
      </c>
      <c r="B102" s="40" t="inlineStr">
        <is>
          <t>RMU 113-1 Disconnector OPEN</t>
        </is>
      </c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38" t="n"/>
      <c r="M102" s="54" t="inlineStr">
        <is>
          <t>RMU 113-1 Disconnector  BLOCKED</t>
        </is>
      </c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3" t="n"/>
      <c r="W102" s="47" t="n"/>
      <c r="X102" s="43" t="n"/>
      <c r="Y102" s="47" t="n"/>
      <c r="Z102" s="43" t="n"/>
    </row>
    <row r="103" ht="22.5" customHeight="1" s="31">
      <c r="A103" s="65">
        <f>A102+1</f>
        <v/>
      </c>
      <c r="B103" s="40" t="inlineStr">
        <is>
          <t>RMU 113-1 Earth Switch CLOSED</t>
        </is>
      </c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38" t="n"/>
      <c r="M103" s="34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6" t="n"/>
      <c r="W103" s="34" t="n"/>
      <c r="X103" s="36" t="n"/>
      <c r="Y103" s="34" t="n"/>
      <c r="Z103" s="36" t="n"/>
    </row>
    <row r="104" ht="22.5" customHeight="1" s="31">
      <c r="A104" s="65">
        <f>A103+1</f>
        <v/>
      </c>
      <c r="B104" s="40" t="inlineStr">
        <is>
          <t>RMU 113-1 Disconnector OPEN</t>
        </is>
      </c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38" t="n"/>
      <c r="M104" s="54" t="inlineStr">
        <is>
          <t>RMU 113-1 Cable Cubicle OPEN</t>
        </is>
      </c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3" t="n"/>
      <c r="W104" s="47" t="n"/>
      <c r="X104" s="43" t="n"/>
      <c r="Y104" s="47" t="n"/>
      <c r="Z104" s="43" t="n"/>
    </row>
    <row r="105" ht="22.5" customHeight="1" s="31">
      <c r="A105" s="65">
        <f>A104+1</f>
        <v/>
      </c>
      <c r="B105" s="40" t="inlineStr">
        <is>
          <t>RMU 113-1 Earth Switch CLOSED</t>
        </is>
      </c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38" t="n"/>
      <c r="M105" s="34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6" t="n"/>
      <c r="W105" s="34" t="n"/>
      <c r="X105" s="36" t="n"/>
      <c r="Y105" s="34" t="n"/>
      <c r="Z105" s="36" t="n"/>
    </row>
    <row r="106" ht="22.5" customHeight="1" s="31">
      <c r="A106" s="65">
        <f>A105+1</f>
        <v/>
      </c>
      <c r="B106" s="44" t="inlineStr">
        <is>
          <t>Ductor Testing</t>
        </is>
      </c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38" t="n"/>
    </row>
    <row r="107" ht="22.5" customHeight="1" s="31">
      <c r="A107" s="65">
        <f>A106+1</f>
        <v/>
      </c>
      <c r="B107" s="59" t="inlineStr">
        <is>
          <t>RMU 111-1 - RMU 113-1</t>
        </is>
      </c>
      <c r="C107" s="49" t="n"/>
      <c r="D107" s="49" t="n"/>
      <c r="E107" s="49" t="n"/>
      <c r="F107" s="49" t="n"/>
      <c r="G107" s="49" t="n"/>
      <c r="H107" s="49" t="n"/>
      <c r="I107" s="49" t="n"/>
      <c r="J107" s="43" t="n"/>
      <c r="K107" s="52" t="inlineStr">
        <is>
          <t>L1-L1</t>
        </is>
      </c>
      <c r="L107" s="38" t="n"/>
      <c r="M107" s="54" t="inlineStr">
        <is>
          <t>&lt;10mΩ</t>
        </is>
      </c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3" t="n"/>
      <c r="W107" s="51" t="n"/>
      <c r="X107" s="38" t="n"/>
      <c r="Y107" s="42" t="n"/>
      <c r="Z107" s="43" t="n"/>
    </row>
    <row r="108" ht="22.5" customHeight="1" s="31">
      <c r="A108" s="65">
        <f>A107+1</f>
        <v/>
      </c>
      <c r="B108" s="33" t="n"/>
      <c r="J108" s="32" t="n"/>
      <c r="K108" s="52" t="inlineStr">
        <is>
          <t>L2-L2</t>
        </is>
      </c>
      <c r="L108" s="38" t="n"/>
      <c r="M108" s="33" t="n"/>
      <c r="V108" s="32" t="n"/>
      <c r="W108" s="51" t="n"/>
      <c r="X108" s="38" t="n"/>
      <c r="Y108" s="33" t="n"/>
      <c r="Z108" s="32" t="n"/>
    </row>
    <row r="109" ht="22.5" customHeight="1" s="31">
      <c r="A109" s="65">
        <f>A108+1</f>
        <v/>
      </c>
      <c r="B109" s="33" t="n"/>
      <c r="J109" s="32" t="n"/>
      <c r="K109" s="52" t="inlineStr">
        <is>
          <t>L3-L3</t>
        </is>
      </c>
      <c r="L109" s="38" t="n"/>
      <c r="M109" s="34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6" t="n"/>
      <c r="W109" s="51" t="n"/>
      <c r="X109" s="38" t="n"/>
      <c r="Y109" s="34" t="n"/>
      <c r="Z109" s="36" t="n"/>
    </row>
    <row r="110" ht="22.5" customHeight="1" s="31">
      <c r="A110" s="65">
        <f>A109+1</f>
        <v/>
      </c>
      <c r="B110" s="59" t="inlineStr">
        <is>
          <t>RMU 111-1</t>
        </is>
      </c>
      <c r="C110" s="49" t="n"/>
      <c r="D110" s="49" t="n"/>
      <c r="E110" s="49" t="n"/>
      <c r="F110" s="49" t="n"/>
      <c r="G110" s="49" t="n"/>
      <c r="H110" s="49" t="n"/>
      <c r="I110" s="49" t="n"/>
      <c r="J110" s="43" t="n"/>
      <c r="K110" s="52" t="inlineStr">
        <is>
          <t>L1-E</t>
        </is>
      </c>
      <c r="L110" s="38" t="n"/>
      <c r="M110" s="54" t="inlineStr">
        <is>
          <t>&lt;10mΩ</t>
        </is>
      </c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3" t="n"/>
      <c r="W110" s="51" t="n"/>
      <c r="X110" s="38" t="n"/>
      <c r="Y110" s="42" t="n"/>
      <c r="Z110" s="43" t="n"/>
    </row>
    <row r="111" ht="22.5" customHeight="1" s="31">
      <c r="A111" s="65">
        <f>A110+1</f>
        <v/>
      </c>
      <c r="B111" s="33" t="n"/>
      <c r="J111" s="32" t="n"/>
      <c r="K111" s="52" t="inlineStr">
        <is>
          <t>L2-E</t>
        </is>
      </c>
      <c r="L111" s="38" t="n"/>
      <c r="M111" s="33" t="n"/>
      <c r="V111" s="32" t="n"/>
      <c r="W111" s="51" t="n"/>
      <c r="X111" s="38" t="n"/>
      <c r="Y111" s="33" t="n"/>
      <c r="Z111" s="32" t="n"/>
    </row>
    <row r="112" ht="22.5" customHeight="1" s="31">
      <c r="A112" s="65">
        <f>A111+1</f>
        <v/>
      </c>
      <c r="B112" s="33" t="n"/>
      <c r="J112" s="32" t="n"/>
      <c r="K112" s="52" t="inlineStr">
        <is>
          <t>L3-E</t>
        </is>
      </c>
      <c r="L112" s="38" t="n"/>
      <c r="M112" s="34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6" t="n"/>
      <c r="W112" s="51" t="n"/>
      <c r="X112" s="38" t="n"/>
      <c r="Y112" s="34" t="n"/>
      <c r="Z112" s="36" t="n"/>
    </row>
    <row r="113" ht="22.5" customHeight="1" s="31">
      <c r="A113" s="65">
        <f>A112+1</f>
        <v/>
      </c>
      <c r="B113" s="59" t="inlineStr">
        <is>
          <t>RMU 113-1</t>
        </is>
      </c>
      <c r="C113" s="49" t="n"/>
      <c r="D113" s="49" t="n"/>
      <c r="E113" s="49" t="n"/>
      <c r="F113" s="49" t="n"/>
      <c r="G113" s="49" t="n"/>
      <c r="H113" s="49" t="n"/>
      <c r="I113" s="49" t="n"/>
      <c r="J113" s="43" t="n"/>
      <c r="K113" s="52" t="inlineStr">
        <is>
          <t>L1-E</t>
        </is>
      </c>
      <c r="L113" s="38" t="n"/>
      <c r="M113" s="54" t="inlineStr">
        <is>
          <t>&lt;10mΩ</t>
        </is>
      </c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3" t="n"/>
      <c r="W113" s="51" t="n"/>
      <c r="X113" s="38" t="n"/>
      <c r="Y113" s="42" t="n"/>
      <c r="Z113" s="43" t="n"/>
    </row>
    <row r="114" ht="22.5" customHeight="1" s="31">
      <c r="A114" s="65">
        <f>A113+1</f>
        <v/>
      </c>
      <c r="B114" s="33" t="n"/>
      <c r="J114" s="32" t="n"/>
      <c r="K114" s="52" t="inlineStr">
        <is>
          <t>L2-E</t>
        </is>
      </c>
      <c r="L114" s="38" t="n"/>
      <c r="M114" s="33" t="n"/>
      <c r="V114" s="32" t="n"/>
      <c r="W114" s="51" t="n"/>
      <c r="X114" s="38" t="n"/>
      <c r="Y114" s="33" t="n"/>
      <c r="Z114" s="32" t="n"/>
    </row>
    <row r="115" ht="22.5" customHeight="1" s="31">
      <c r="A115" s="65">
        <f>A114+1</f>
        <v/>
      </c>
      <c r="B115" s="33" t="n"/>
      <c r="J115" s="32" t="n"/>
      <c r="K115" s="52" t="inlineStr">
        <is>
          <t>L3-E</t>
        </is>
      </c>
      <c r="L115" s="38" t="n"/>
      <c r="M115" s="34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6" t="n"/>
      <c r="W115" s="51" t="n"/>
      <c r="X115" s="38" t="n"/>
      <c r="Y115" s="34" t="n"/>
      <c r="Z115" s="36" t="n"/>
    </row>
    <row r="116" ht="22.5" customHeight="1" s="31">
      <c r="A116" s="65">
        <f>A115+1</f>
        <v/>
      </c>
      <c r="B116" s="44" t="inlineStr">
        <is>
          <t>Insulation Resistance (ALL SWITCHES CLOSED)</t>
        </is>
      </c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38" t="n"/>
    </row>
    <row r="117" ht="22.5" customHeight="1" s="31">
      <c r="A117" s="65">
        <f>A116+1</f>
        <v/>
      </c>
      <c r="B117" s="59" t="inlineStr">
        <is>
          <t>RMU 11-1 MV-LV</t>
        </is>
      </c>
      <c r="C117" s="49" t="n"/>
      <c r="D117" s="49" t="n"/>
      <c r="E117" s="49" t="n"/>
      <c r="F117" s="49" t="n"/>
      <c r="G117" s="49" t="n"/>
      <c r="H117" s="49" t="n"/>
      <c r="I117" s="49" t="n"/>
      <c r="J117" s="43" t="n"/>
      <c r="K117" s="52" t="inlineStr">
        <is>
          <t>MVA-LVA</t>
        </is>
      </c>
      <c r="L117" s="38" t="n"/>
      <c r="M117" s="78" t="inlineStr">
        <is>
          <t xml:space="preserve">    &gt;200 MΩ</t>
        </is>
      </c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51" t="n"/>
      <c r="X117" s="38" t="n"/>
      <c r="Y117" s="42" t="n"/>
      <c r="Z117" s="43" t="n"/>
    </row>
    <row r="118" ht="22.5" customHeight="1" s="31">
      <c r="A118" s="65">
        <f>A117+1</f>
        <v/>
      </c>
      <c r="B118" s="33" t="n"/>
      <c r="J118" s="32" t="n"/>
      <c r="K118" s="52" t="inlineStr">
        <is>
          <t>MVA-LVB</t>
        </is>
      </c>
      <c r="L118" s="38" t="n"/>
      <c r="M118" s="33" t="n"/>
      <c r="W118" s="51" t="n"/>
      <c r="X118" s="38" t="n"/>
      <c r="Y118" s="33" t="n"/>
      <c r="Z118" s="32" t="n"/>
    </row>
    <row r="119" ht="22.5" customHeight="1" s="31">
      <c r="A119" s="65">
        <f>A118+1</f>
        <v/>
      </c>
      <c r="B119" s="33" t="n"/>
      <c r="J119" s="32" t="n"/>
      <c r="K119" s="52" t="inlineStr">
        <is>
          <t>MVA-LVC</t>
        </is>
      </c>
      <c r="L119" s="38" t="n"/>
      <c r="M119" s="33" t="n"/>
      <c r="W119" s="51" t="n"/>
      <c r="X119" s="38" t="n"/>
      <c r="Y119" s="33" t="n"/>
      <c r="Z119" s="32" t="n"/>
    </row>
    <row r="120" ht="22.5" customHeight="1" s="31">
      <c r="A120" s="65">
        <f>A119+1</f>
        <v/>
      </c>
      <c r="B120" s="33" t="n"/>
      <c r="J120" s="32" t="n"/>
      <c r="K120" s="52" t="inlineStr">
        <is>
          <t>MVB-LVA</t>
        </is>
      </c>
      <c r="L120" s="38" t="n"/>
      <c r="M120" s="33" t="n"/>
      <c r="W120" s="51" t="n"/>
      <c r="X120" s="38" t="n"/>
      <c r="Y120" s="33" t="n"/>
      <c r="Z120" s="32" t="n"/>
    </row>
    <row r="121" ht="22.5" customHeight="1" s="31">
      <c r="A121" s="65">
        <f>A120+1</f>
        <v/>
      </c>
      <c r="B121" s="33" t="n"/>
      <c r="J121" s="32" t="n"/>
      <c r="K121" s="52" t="inlineStr">
        <is>
          <t>MVB-LVB</t>
        </is>
      </c>
      <c r="L121" s="38" t="n"/>
      <c r="M121" s="33" t="n"/>
      <c r="W121" s="51" t="n"/>
      <c r="X121" s="38" t="n"/>
      <c r="Y121" s="33" t="n"/>
      <c r="Z121" s="32" t="n"/>
    </row>
    <row r="122" ht="22.5" customHeight="1" s="31">
      <c r="A122" s="65">
        <f>A121+1</f>
        <v/>
      </c>
      <c r="B122" s="33" t="n"/>
      <c r="J122" s="32" t="n"/>
      <c r="K122" s="52" t="inlineStr">
        <is>
          <t>MVB-LVC</t>
        </is>
      </c>
      <c r="L122" s="38" t="n"/>
      <c r="M122" s="33" t="n"/>
      <c r="W122" s="51" t="n"/>
      <c r="X122" s="38" t="n"/>
      <c r="Y122" s="33" t="n"/>
      <c r="Z122" s="32" t="n"/>
    </row>
    <row r="123" ht="22.5" customHeight="1" s="31">
      <c r="A123" s="65">
        <f>A122+1</f>
        <v/>
      </c>
      <c r="B123" s="33" t="n"/>
      <c r="J123" s="32" t="n"/>
      <c r="K123" s="52" t="inlineStr">
        <is>
          <t>MVC-LVA</t>
        </is>
      </c>
      <c r="L123" s="38" t="n"/>
      <c r="M123" s="33" t="n"/>
      <c r="W123" s="51" t="n"/>
      <c r="X123" s="38" t="n"/>
      <c r="Y123" s="33" t="n"/>
      <c r="Z123" s="32" t="n"/>
    </row>
    <row r="124" ht="22.5" customHeight="1" s="31">
      <c r="A124" s="65">
        <f>A123+1</f>
        <v/>
      </c>
      <c r="B124" s="33" t="n"/>
      <c r="J124" s="32" t="n"/>
      <c r="K124" s="52" t="inlineStr">
        <is>
          <t>MVC-LVB</t>
        </is>
      </c>
      <c r="L124" s="38" t="n"/>
      <c r="M124" s="33" t="n"/>
      <c r="W124" s="51" t="n"/>
      <c r="X124" s="38" t="n"/>
      <c r="Y124" s="33" t="n"/>
      <c r="Z124" s="32" t="n"/>
    </row>
    <row r="125" ht="22.5" customHeight="1" s="31">
      <c r="A125" s="65">
        <f>A124+1</f>
        <v/>
      </c>
      <c r="B125" s="33" t="n"/>
      <c r="J125" s="32" t="n"/>
      <c r="K125" s="52" t="inlineStr">
        <is>
          <t>MVC-LVC</t>
        </is>
      </c>
      <c r="L125" s="38" t="n"/>
      <c r="M125" s="34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51" t="n"/>
      <c r="X125" s="38" t="n"/>
      <c r="Y125" s="34" t="n"/>
      <c r="Z125" s="36" t="n"/>
    </row>
    <row r="126" ht="22.5" customHeight="1" s="31">
      <c r="A126" s="65">
        <f>A125+1</f>
        <v/>
      </c>
      <c r="B126" s="59" t="inlineStr">
        <is>
          <t>RMU 11-1 MV</t>
        </is>
      </c>
      <c r="C126" s="49" t="n"/>
      <c r="D126" s="49" t="n"/>
      <c r="E126" s="49" t="n"/>
      <c r="F126" s="49" t="n"/>
      <c r="G126" s="49" t="n"/>
      <c r="H126" s="49" t="n"/>
      <c r="I126" s="49" t="n"/>
      <c r="J126" s="43" t="n"/>
      <c r="K126" s="52" t="inlineStr">
        <is>
          <t>L1-L2</t>
        </is>
      </c>
      <c r="L126" s="38" t="n"/>
      <c r="M126" s="102" t="inlineStr">
        <is>
          <t xml:space="preserve">    &gt;200 MΩ</t>
        </is>
      </c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3" t="n"/>
      <c r="W126" s="51" t="n"/>
      <c r="X126" s="38" t="n"/>
      <c r="Y126" s="47" t="n"/>
      <c r="Z126" s="43" t="n"/>
    </row>
    <row r="127" ht="22.5" customHeight="1" s="31">
      <c r="A127" s="65">
        <f>A126+1</f>
        <v/>
      </c>
      <c r="B127" s="33" t="n"/>
      <c r="J127" s="32" t="n"/>
      <c r="K127" s="52" t="inlineStr">
        <is>
          <t>L2-L3</t>
        </is>
      </c>
      <c r="L127" s="38" t="n"/>
      <c r="M127" s="33" t="n"/>
      <c r="V127" s="32" t="n"/>
      <c r="W127" s="51" t="n"/>
      <c r="X127" s="38" t="n"/>
      <c r="Y127" s="33" t="n"/>
      <c r="Z127" s="32" t="n"/>
    </row>
    <row r="128" ht="22.5" customHeight="1" s="31">
      <c r="A128" s="65">
        <f>A127+1</f>
        <v/>
      </c>
      <c r="B128" s="33" t="n"/>
      <c r="J128" s="32" t="n"/>
      <c r="K128" s="52" t="inlineStr">
        <is>
          <t>L3-L1</t>
        </is>
      </c>
      <c r="L128" s="38" t="n"/>
      <c r="M128" s="33" t="n"/>
      <c r="V128" s="32" t="n"/>
      <c r="W128" s="51" t="n"/>
      <c r="X128" s="38" t="n"/>
      <c r="Y128" s="33" t="n"/>
      <c r="Z128" s="32" t="n"/>
    </row>
    <row r="129" ht="22.5" customHeight="1" s="31">
      <c r="A129" s="65">
        <f>A128+1</f>
        <v/>
      </c>
      <c r="B129" s="33" t="n"/>
      <c r="J129" s="32" t="n"/>
      <c r="K129" s="52" t="inlineStr">
        <is>
          <t>L1-E</t>
        </is>
      </c>
      <c r="L129" s="38" t="n"/>
      <c r="M129" s="33" t="n"/>
      <c r="V129" s="32" t="n"/>
      <c r="W129" s="51" t="n"/>
      <c r="X129" s="38" t="n"/>
      <c r="Y129" s="33" t="n"/>
      <c r="Z129" s="32" t="n"/>
    </row>
    <row r="130" ht="22.5" customHeight="1" s="31">
      <c r="A130" s="65">
        <f>A129+1</f>
        <v/>
      </c>
      <c r="B130" s="33" t="n"/>
      <c r="J130" s="32" t="n"/>
      <c r="K130" s="52" t="inlineStr">
        <is>
          <t>L2-E</t>
        </is>
      </c>
      <c r="L130" s="38" t="n"/>
      <c r="M130" s="33" t="n"/>
      <c r="V130" s="32" t="n"/>
      <c r="W130" s="51" t="n"/>
      <c r="X130" s="38" t="n"/>
      <c r="Y130" s="33" t="n"/>
      <c r="Z130" s="32" t="n"/>
    </row>
    <row r="131" ht="22.5" customHeight="1" s="31">
      <c r="A131" s="65">
        <f>A130+1</f>
        <v/>
      </c>
      <c r="B131" s="33" t="n"/>
      <c r="J131" s="32" t="n"/>
      <c r="K131" s="52" t="inlineStr">
        <is>
          <t>L3-E</t>
        </is>
      </c>
      <c r="L131" s="38" t="n"/>
      <c r="M131" s="33" t="n"/>
      <c r="V131" s="32" t="n"/>
      <c r="W131" s="51" t="n"/>
      <c r="X131" s="38" t="n"/>
      <c r="Y131" s="34" t="n"/>
      <c r="Z131" s="36" t="n"/>
    </row>
    <row r="132" ht="22.5" customHeight="1" s="31">
      <c r="A132" s="65">
        <f>A131+1</f>
        <v/>
      </c>
      <c r="B132" s="59" t="inlineStr">
        <is>
          <t>RMU 11-1 LV</t>
        </is>
      </c>
      <c r="C132" s="49" t="n"/>
      <c r="D132" s="49" t="n"/>
      <c r="E132" s="49" t="n"/>
      <c r="F132" s="49" t="n"/>
      <c r="G132" s="49" t="n"/>
      <c r="H132" s="49" t="n"/>
      <c r="I132" s="49" t="n"/>
      <c r="J132" s="43" t="n"/>
      <c r="K132" s="52" t="inlineStr">
        <is>
          <t>L1-E</t>
        </is>
      </c>
      <c r="L132" s="38" t="n"/>
      <c r="M132" s="89" t="inlineStr">
        <is>
          <t xml:space="preserve">    &gt;200 MΩ</t>
        </is>
      </c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3" t="n"/>
      <c r="W132" s="51" t="n"/>
      <c r="X132" s="38" t="n"/>
      <c r="Y132" s="42" t="n"/>
      <c r="Z132" s="43" t="n"/>
    </row>
    <row r="133" ht="22.5" customHeight="1" s="31">
      <c r="A133" s="65">
        <f>A132+1</f>
        <v/>
      </c>
      <c r="B133" s="33" t="n"/>
      <c r="J133" s="32" t="n"/>
      <c r="K133" s="52" t="inlineStr">
        <is>
          <t>L2-E</t>
        </is>
      </c>
      <c r="L133" s="38" t="n"/>
      <c r="M133" s="33" t="n"/>
      <c r="V133" s="32" t="n"/>
      <c r="W133" s="51" t="n"/>
      <c r="X133" s="38" t="n"/>
      <c r="Y133" s="33" t="n"/>
      <c r="Z133" s="32" t="n"/>
    </row>
    <row r="134" ht="22.5" customHeight="1" s="31">
      <c r="A134" s="65">
        <f>A133+1</f>
        <v/>
      </c>
      <c r="B134" s="33" t="n"/>
      <c r="J134" s="32" t="n"/>
      <c r="K134" s="52" t="inlineStr">
        <is>
          <t>L3-E</t>
        </is>
      </c>
      <c r="L134" s="38" t="n"/>
      <c r="M134" s="34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6" t="n"/>
      <c r="W134" s="51" t="n"/>
      <c r="X134" s="38" t="n"/>
      <c r="Y134" s="34" t="n"/>
      <c r="Z134" s="36" t="n"/>
    </row>
    <row r="135" ht="22.5" customHeight="1" s="31">
      <c r="A135" s="65">
        <f>A134+1</f>
        <v/>
      </c>
      <c r="B135" s="44" t="inlineStr">
        <is>
          <t>Transformer Testing</t>
        </is>
      </c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38" t="n"/>
    </row>
    <row r="136" ht="22.5" customHeight="1" s="31">
      <c r="A136" s="65">
        <f>A135+1</f>
        <v/>
      </c>
      <c r="B136" s="59" t="inlineStr">
        <is>
          <t>Winding Turns Ratio Test</t>
        </is>
      </c>
      <c r="C136" s="49" t="n"/>
      <c r="D136" s="49" t="n"/>
      <c r="E136" s="49" t="n"/>
      <c r="F136" s="49" t="n"/>
      <c r="G136" s="49" t="n"/>
      <c r="H136" s="49" t="n"/>
      <c r="I136" s="49" t="n"/>
      <c r="J136" s="43" t="n"/>
      <c r="K136" s="52" t="inlineStr">
        <is>
          <t>L1-L2</t>
        </is>
      </c>
      <c r="L136" s="38" t="n"/>
      <c r="M136" s="78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93" t="inlineStr">
        <is>
          <t>Link to test report</t>
        </is>
      </c>
      <c r="X136" s="49" t="n"/>
      <c r="Y136" s="47" t="n"/>
      <c r="Z136" s="43" t="n"/>
    </row>
    <row r="137" ht="22.5" customHeight="1" s="31">
      <c r="A137" s="65">
        <f>A136+1</f>
        <v/>
      </c>
      <c r="B137" s="33" t="n"/>
      <c r="J137" s="32" t="n"/>
      <c r="K137" s="52" t="inlineStr">
        <is>
          <t>L2-L3</t>
        </is>
      </c>
      <c r="L137" s="38" t="n"/>
      <c r="M137" s="33" t="n"/>
      <c r="W137" s="33" t="n"/>
      <c r="Y137" s="33" t="n"/>
      <c r="Z137" s="32" t="n"/>
    </row>
    <row r="138" ht="22.5" customHeight="1" s="31">
      <c r="A138" s="65">
        <f>A137+1</f>
        <v/>
      </c>
      <c r="B138" s="33" t="n"/>
      <c r="J138" s="32" t="n"/>
      <c r="K138" s="52" t="inlineStr">
        <is>
          <t>L3-L1</t>
        </is>
      </c>
      <c r="L138" s="38" t="n"/>
      <c r="M138" s="34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3" t="n"/>
      <c r="Y138" s="33" t="n"/>
      <c r="Z138" s="32" t="n"/>
    </row>
    <row r="139" ht="22.5" customHeight="1" s="31">
      <c r="A139" s="65">
        <f>A138+1</f>
        <v/>
      </c>
      <c r="B139" s="59" t="inlineStr">
        <is>
          <t>Winding Reistance</t>
        </is>
      </c>
      <c r="C139" s="49" t="n"/>
      <c r="D139" s="49" t="n"/>
      <c r="E139" s="49" t="n"/>
      <c r="F139" s="49" t="n"/>
      <c r="G139" s="49" t="n"/>
      <c r="H139" s="49" t="n"/>
      <c r="I139" s="49" t="n"/>
      <c r="J139" s="43" t="n"/>
      <c r="K139" s="52" t="inlineStr">
        <is>
          <t>L1-L2</t>
        </is>
      </c>
      <c r="L139" s="38" t="n"/>
      <c r="M139" s="78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33" t="n"/>
      <c r="Y139" s="33" t="n"/>
      <c r="Z139" s="32" t="n"/>
    </row>
    <row r="140" ht="22.5" customHeight="1" s="31">
      <c r="A140" s="65">
        <f>A139+1</f>
        <v/>
      </c>
      <c r="B140" s="33" t="n"/>
      <c r="J140" s="32" t="n"/>
      <c r="K140" s="52" t="inlineStr">
        <is>
          <t>L2-L3</t>
        </is>
      </c>
      <c r="L140" s="38" t="n"/>
      <c r="M140" s="33" t="n"/>
      <c r="W140" s="33" t="n"/>
      <c r="Y140" s="33" t="n"/>
      <c r="Z140" s="32" t="n"/>
    </row>
    <row r="141" ht="22.5" customHeight="1" s="31">
      <c r="A141" s="65">
        <f>A140+1</f>
        <v/>
      </c>
      <c r="B141" s="33" t="n"/>
      <c r="J141" s="32" t="n"/>
      <c r="K141" s="52" t="inlineStr">
        <is>
          <t>L3-L1</t>
        </is>
      </c>
      <c r="L141" s="38" t="n"/>
      <c r="M141" s="34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4" t="n"/>
      <c r="X141" s="35" t="n"/>
      <c r="Y141" s="34" t="n"/>
      <c r="Z141" s="36" t="n"/>
    </row>
    <row r="142" ht="22.5" customHeight="1" s="31">
      <c r="A142" s="65">
        <f>A141+1</f>
        <v/>
      </c>
      <c r="B142" s="87" t="inlineStr">
        <is>
          <t>Circuit Breaker Testing</t>
        </is>
      </c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38" t="n"/>
      <c r="M142" s="60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38" t="n"/>
      <c r="W142" s="71" t="n"/>
      <c r="X142" s="38" t="n"/>
      <c r="Y142" s="71" t="n"/>
      <c r="Z142" s="38" t="n"/>
    </row>
    <row r="143" ht="22.5" customHeight="1" s="31">
      <c r="A143" s="65">
        <f>A142+1</f>
        <v/>
      </c>
      <c r="B143" s="40" t="inlineStr">
        <is>
          <t>Circuit Breaker Timing Test</t>
        </is>
      </c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38" t="n"/>
      <c r="M143" s="54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38" t="n"/>
      <c r="W143" s="72" t="inlineStr">
        <is>
          <t>Link to test report</t>
        </is>
      </c>
      <c r="X143" s="43" t="n"/>
      <c r="Y143" s="42" t="n"/>
      <c r="Z143" s="38" t="n"/>
    </row>
    <row r="144" ht="22.5" customHeight="1" s="31">
      <c r="A144" s="65">
        <f>A143+1</f>
        <v/>
      </c>
      <c r="B144" s="40" t="inlineStr">
        <is>
          <t>Circuit Breaker Functional Test</t>
        </is>
      </c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38" t="n"/>
      <c r="M144" s="54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38" t="n"/>
      <c r="W144" s="34" t="n"/>
      <c r="X144" s="36" t="n"/>
      <c r="Y144" s="42" t="n"/>
      <c r="Z144" s="38" t="n"/>
    </row>
    <row r="145" ht="22.5" customHeight="1" s="31">
      <c r="A145" s="65">
        <f>A144+1</f>
        <v/>
      </c>
      <c r="B145" s="87" t="inlineStr">
        <is>
          <t>Current Transformer Testing</t>
        </is>
      </c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38" t="n"/>
      <c r="M145" s="60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38" t="n"/>
      <c r="W145" s="71" t="n"/>
      <c r="X145" s="38" t="n"/>
      <c r="Y145" s="71" t="n"/>
      <c r="Z145" s="38" t="n"/>
    </row>
    <row r="146" ht="22.5" customHeight="1" s="31">
      <c r="A146" s="65">
        <f>A145+1</f>
        <v/>
      </c>
      <c r="B146" s="40" t="inlineStr">
        <is>
          <t>Relay Trips via Primary injection @ 100A</t>
        </is>
      </c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  <c r="L146" s="38" t="n"/>
      <c r="M146" s="54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38" t="n"/>
      <c r="W146" s="72" t="n"/>
      <c r="X146" s="38" t="n"/>
      <c r="Y146" s="42" t="n"/>
      <c r="Z146" s="38" t="n"/>
    </row>
    <row r="147" ht="22.5" customHeight="1" s="31">
      <c r="A147" s="65">
        <f>A146+1</f>
        <v/>
      </c>
      <c r="B147" s="40" t="inlineStr">
        <is>
          <t>Relay Trips via Primary injection @ 22.5A (EF)</t>
        </is>
      </c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38" t="n"/>
      <c r="M147" s="54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38" t="n"/>
      <c r="W147" s="72" t="n"/>
      <c r="X147" s="38" t="n"/>
      <c r="Y147" s="42" t="n"/>
      <c r="Z147" s="38" t="n"/>
    </row>
    <row r="148" ht="22.5" customHeight="1" s="31">
      <c r="A148" s="66" t="inlineStr">
        <is>
          <t>NOTES, COMMENTS OR OTHER INFORMATION</t>
        </is>
      </c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38" t="n"/>
    </row>
    <row r="149" ht="22.5" customHeight="1" s="31">
      <c r="A149" s="30" t="n"/>
      <c r="Z149" s="32" t="n"/>
    </row>
    <row r="150" ht="22.5" customHeight="1" s="31">
      <c r="A150" s="33" t="n"/>
      <c r="Z150" s="32" t="n"/>
    </row>
    <row r="151" ht="22.5" customHeight="1" s="31">
      <c r="A151" s="33" t="n"/>
      <c r="Z151" s="32" t="n"/>
    </row>
    <row r="152" ht="22.5" customHeight="1" s="31">
      <c r="A152" s="33" t="n"/>
      <c r="Z152" s="32" t="n"/>
    </row>
    <row r="153" ht="22.5" customHeight="1" s="31">
      <c r="A153" s="33" t="n"/>
      <c r="Z153" s="32" t="n"/>
    </row>
    <row r="154" ht="22.5" customHeight="1" s="31">
      <c r="A154" s="34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6" t="n"/>
    </row>
    <row r="155" ht="22.5" customHeight="1" s="31">
      <c r="A155" s="66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38" t="n"/>
    </row>
    <row r="156" ht="22.5" customHeight="1" s="31">
      <c r="A156" s="56" t="inlineStr">
        <is>
          <t>ITP Completed (name):
(CPP Project Commissioning Officer)</t>
        </is>
      </c>
      <c r="B156" s="49" t="n"/>
      <c r="C156" s="49" t="n"/>
      <c r="D156" s="49" t="n"/>
      <c r="E156" s="49" t="n"/>
      <c r="F156" s="43" t="n"/>
      <c r="G156" s="65" t="n"/>
      <c r="H156" s="49" t="n"/>
      <c r="I156" s="49" t="n"/>
      <c r="J156" s="49" t="n"/>
      <c r="K156" s="49" t="n"/>
      <c r="L156" s="49" t="n"/>
      <c r="M156" s="43" t="n"/>
      <c r="N156" s="24" t="n"/>
      <c r="O156" s="25" t="n"/>
      <c r="P156" s="25" t="n"/>
      <c r="Q156" s="25" t="n"/>
      <c r="R156" s="25" t="n"/>
      <c r="S156" s="25" t="n"/>
      <c r="T156" s="26" t="n"/>
      <c r="U156" s="26" t="n"/>
      <c r="V156" s="26" t="n"/>
      <c r="W156" s="26" t="n"/>
      <c r="X156" s="26" t="n"/>
      <c r="Y156" s="26" t="n"/>
      <c r="Z156" s="26" t="n"/>
    </row>
    <row r="157" ht="22.5" customHeight="1" s="31">
      <c r="A157" s="34" t="n"/>
      <c r="B157" s="35" t="n"/>
      <c r="C157" s="35" t="n"/>
      <c r="D157" s="35" t="n"/>
      <c r="E157" s="35" t="n"/>
      <c r="F157" s="36" t="n"/>
      <c r="G157" s="34" t="n"/>
      <c r="H157" s="35" t="n"/>
      <c r="I157" s="35" t="n"/>
      <c r="J157" s="35" t="n"/>
      <c r="K157" s="35" t="n"/>
      <c r="L157" s="35" t="n"/>
      <c r="M157" s="36" t="n"/>
      <c r="N157" s="27" t="n"/>
      <c r="O157" s="2" t="n"/>
      <c r="P157" s="2" t="n"/>
      <c r="Q157" s="2" t="n"/>
      <c r="R157" s="2" t="n"/>
      <c r="S157" s="2" t="n"/>
      <c r="T157" s="28" t="n"/>
      <c r="U157" s="28" t="n"/>
      <c r="V157" s="28" t="n"/>
      <c r="W157" s="28" t="n"/>
      <c r="X157" s="28" t="n"/>
      <c r="Y157" s="28" t="n"/>
      <c r="Z157" s="28" t="n"/>
    </row>
    <row r="158" ht="22.5" customHeight="1" s="31">
      <c r="A158" s="56" t="inlineStr">
        <is>
          <t>Signature:</t>
        </is>
      </c>
      <c r="B158" s="41" t="n"/>
      <c r="C158" s="41" t="n"/>
      <c r="D158" s="41" t="n"/>
      <c r="E158" s="41" t="n"/>
      <c r="F158" s="38" t="n"/>
      <c r="G158" s="69">
        <f>G156</f>
        <v/>
      </c>
      <c r="H158" s="41" t="n"/>
      <c r="I158" s="41" t="n"/>
      <c r="J158" s="41" t="n"/>
      <c r="K158" s="41" t="n"/>
      <c r="L158" s="41" t="n"/>
      <c r="M158" s="38" t="n"/>
      <c r="N158" s="27" t="n"/>
      <c r="O158" s="2" t="n"/>
      <c r="P158" s="2" t="n"/>
      <c r="Q158" s="2" t="n"/>
      <c r="R158" s="2" t="n"/>
      <c r="S158" s="2" t="n"/>
    </row>
    <row r="159" ht="22.5" customHeight="1" s="31">
      <c r="A159" s="56" t="inlineStr">
        <is>
          <t>Date:</t>
        </is>
      </c>
      <c r="B159" s="41" t="n"/>
      <c r="C159" s="41" t="n"/>
      <c r="D159" s="41" t="n"/>
      <c r="E159" s="41" t="n"/>
      <c r="F159" s="38" t="n"/>
      <c r="G159" s="101" t="n"/>
      <c r="H159" s="41" t="n"/>
      <c r="I159" s="41" t="n"/>
      <c r="J159" s="41" t="n"/>
      <c r="K159" s="41" t="n"/>
      <c r="L159" s="41" t="n"/>
      <c r="M159" s="38" t="n"/>
      <c r="N159" s="27" t="n"/>
      <c r="O159" s="2" t="n"/>
      <c r="P159" s="2" t="n"/>
      <c r="Q159" s="2" t="n"/>
      <c r="R159" s="2" t="n"/>
      <c r="S159" s="2" t="n"/>
    </row>
    <row r="160" ht="22.5" customHeight="1" s="31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 ht="22.5" customHeight="1" s="3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</row>
    <row r="162" ht="22.5" customHeight="1" s="31">
      <c r="A162" s="29" t="n"/>
      <c r="B162" s="29" t="n"/>
      <c r="C162" s="29" t="n"/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 ht="22.5" customHeight="1" s="31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 ht="22.5" customHeight="1" s="31">
      <c r="A164" s="29" t="n"/>
      <c r="B164" s="29" t="n"/>
      <c r="C164" s="29" t="n"/>
      <c r="D164" s="29" t="n"/>
      <c r="E164" s="29" t="n"/>
      <c r="F164" s="29" t="n"/>
      <c r="G164" s="29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 ht="22.5" customHeight="1" s="31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 ht="22.5" customHeight="1" s="31">
      <c r="A166" s="29" t="n"/>
      <c r="B166" s="29" t="n"/>
      <c r="C166" s="29" t="n"/>
      <c r="D166" s="29" t="n"/>
      <c r="E166" s="29" t="n"/>
      <c r="F166" s="29" t="n"/>
      <c r="G166" s="29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 ht="22.5" customHeight="1" s="31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 ht="22.5" customHeight="1" s="31">
      <c r="A168" s="29" t="n"/>
      <c r="B168" s="29" t="n"/>
      <c r="C168" s="29" t="n"/>
      <c r="D168" s="29" t="n"/>
      <c r="E168" s="29" t="n"/>
      <c r="F168" s="29" t="n"/>
      <c r="G168" s="29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 ht="22.5" customHeight="1" s="31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 ht="22.5" customHeight="1" s="31">
      <c r="A170" s="29" t="n"/>
      <c r="B170" s="29" t="n"/>
      <c r="C170" s="29" t="n"/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 ht="22.5" customHeight="1" s="3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 ht="22.5" customHeight="1" s="31">
      <c r="A172" s="29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</sheetData>
  <mergeCells count="421">
    <mergeCell ref="Q14:S14"/>
    <mergeCell ref="Y47:Z47"/>
    <mergeCell ref="K33:L33"/>
    <mergeCell ref="W128:X128"/>
    <mergeCell ref="M98:V99"/>
    <mergeCell ref="N37:N40"/>
    <mergeCell ref="K35:L35"/>
    <mergeCell ref="Q15:S15"/>
    <mergeCell ref="W82:X83"/>
    <mergeCell ref="W129:X129"/>
    <mergeCell ref="W63:X63"/>
    <mergeCell ref="W123:X123"/>
    <mergeCell ref="W50:X50"/>
    <mergeCell ref="A20:F20"/>
    <mergeCell ref="Y50:Z50"/>
    <mergeCell ref="W131:X131"/>
    <mergeCell ref="A13:F13"/>
    <mergeCell ref="B78:L78"/>
    <mergeCell ref="Y117:Z125"/>
    <mergeCell ref="Y52:Z52"/>
    <mergeCell ref="T10:Z10"/>
    <mergeCell ref="A15:F15"/>
    <mergeCell ref="M110:V112"/>
    <mergeCell ref="M75:V75"/>
    <mergeCell ref="M96:V97"/>
    <mergeCell ref="M80:V80"/>
    <mergeCell ref="N7:Z8"/>
    <mergeCell ref="Y42:Z42"/>
    <mergeCell ref="W78:X78"/>
    <mergeCell ref="B25:L25"/>
    <mergeCell ref="W69:X73"/>
    <mergeCell ref="W124:X124"/>
    <mergeCell ref="W118:X118"/>
    <mergeCell ref="G16:M16"/>
    <mergeCell ref="W142:X142"/>
    <mergeCell ref="W80:X80"/>
    <mergeCell ref="Y142:Z142"/>
    <mergeCell ref="N33:N36"/>
    <mergeCell ref="W55:X55"/>
    <mergeCell ref="G9:M9"/>
    <mergeCell ref="W86:X87"/>
    <mergeCell ref="B132:J134"/>
    <mergeCell ref="K41:L41"/>
    <mergeCell ref="G11:M11"/>
    <mergeCell ref="W88:X89"/>
    <mergeCell ref="K56:L56"/>
    <mergeCell ref="B81:Z81"/>
    <mergeCell ref="K43:L43"/>
    <mergeCell ref="K120:L120"/>
    <mergeCell ref="K107:L107"/>
    <mergeCell ref="B84:L84"/>
    <mergeCell ref="M41:M42"/>
    <mergeCell ref="W58:X58"/>
    <mergeCell ref="P37:V40"/>
    <mergeCell ref="M43:M44"/>
    <mergeCell ref="W60:X60"/>
    <mergeCell ref="B142:L142"/>
    <mergeCell ref="B80:L80"/>
    <mergeCell ref="Y66:Z66"/>
    <mergeCell ref="B79:L79"/>
    <mergeCell ref="W53:X53"/>
    <mergeCell ref="B70:L73"/>
    <mergeCell ref="Y53:Z53"/>
    <mergeCell ref="B144:L144"/>
    <mergeCell ref="W68:X68"/>
    <mergeCell ref="N11:S12"/>
    <mergeCell ref="Y68:Z68"/>
    <mergeCell ref="Y55:Z55"/>
    <mergeCell ref="K54:L54"/>
    <mergeCell ref="D16:F16"/>
    <mergeCell ref="B30:Z30"/>
    <mergeCell ref="B107:J109"/>
    <mergeCell ref="D18:F18"/>
    <mergeCell ref="K44:L44"/>
    <mergeCell ref="B58:C60"/>
    <mergeCell ref="O50:O53"/>
    <mergeCell ref="W84:X85"/>
    <mergeCell ref="Y144:Z144"/>
    <mergeCell ref="G17:M17"/>
    <mergeCell ref="T11:Z12"/>
    <mergeCell ref="Y37:Z37"/>
    <mergeCell ref="B110:J112"/>
    <mergeCell ref="B99:L99"/>
    <mergeCell ref="W92:X93"/>
    <mergeCell ref="G19:M19"/>
    <mergeCell ref="B92:L92"/>
    <mergeCell ref="K57:L57"/>
    <mergeCell ref="Y41:Z41"/>
    <mergeCell ref="K128:L128"/>
    <mergeCell ref="B94:L94"/>
    <mergeCell ref="W104:X105"/>
    <mergeCell ref="G14:M14"/>
    <mergeCell ref="K121:L121"/>
    <mergeCell ref="Y43:Z43"/>
    <mergeCell ref="M139:V141"/>
    <mergeCell ref="Y63:Z63"/>
    <mergeCell ref="K123:L123"/>
    <mergeCell ref="A7:M8"/>
    <mergeCell ref="K110:L110"/>
    <mergeCell ref="G159:M159"/>
    <mergeCell ref="Y67:Z67"/>
    <mergeCell ref="W76:X76"/>
    <mergeCell ref="B145:L145"/>
    <mergeCell ref="B117:J125"/>
    <mergeCell ref="B147:L147"/>
    <mergeCell ref="P59:V59"/>
    <mergeCell ref="K39:L39"/>
    <mergeCell ref="D19:F19"/>
    <mergeCell ref="M126:V131"/>
    <mergeCell ref="W23:X23"/>
    <mergeCell ref="W100:X101"/>
    <mergeCell ref="Y38:Z38"/>
    <mergeCell ref="Y147:Z147"/>
    <mergeCell ref="B100:L100"/>
    <mergeCell ref="A148:Z148"/>
    <mergeCell ref="G20:M20"/>
    <mergeCell ref="W24:X24"/>
    <mergeCell ref="Y24:Z24"/>
    <mergeCell ref="N50:N53"/>
    <mergeCell ref="B31:L31"/>
    <mergeCell ref="B102:L102"/>
    <mergeCell ref="K129:L129"/>
    <mergeCell ref="G156:M157"/>
    <mergeCell ref="M146:V146"/>
    <mergeCell ref="N10:S10"/>
    <mergeCell ref="K50:L50"/>
    <mergeCell ref="K131:L131"/>
    <mergeCell ref="K58:L58"/>
    <mergeCell ref="W113:X113"/>
    <mergeCell ref="K52:L52"/>
    <mergeCell ref="W115:X115"/>
    <mergeCell ref="W42:X42"/>
    <mergeCell ref="W77:X77"/>
    <mergeCell ref="P33:V36"/>
    <mergeCell ref="K53:L53"/>
    <mergeCell ref="Y77:Z77"/>
    <mergeCell ref="M33:M36"/>
    <mergeCell ref="B63:L63"/>
    <mergeCell ref="W37:X37"/>
    <mergeCell ref="B116:Z116"/>
    <mergeCell ref="Y143:Z143"/>
    <mergeCell ref="B90:L90"/>
    <mergeCell ref="M88:V89"/>
    <mergeCell ref="K55:L55"/>
    <mergeCell ref="M23:V23"/>
    <mergeCell ref="P62:V62"/>
    <mergeCell ref="P46:V49"/>
    <mergeCell ref="M90:V91"/>
    <mergeCell ref="W25:X29"/>
    <mergeCell ref="K119:L119"/>
    <mergeCell ref="P64:V64"/>
    <mergeCell ref="T15:Z15"/>
    <mergeCell ref="B103:L103"/>
    <mergeCell ref="Q13:S13"/>
    <mergeCell ref="M113:V115"/>
    <mergeCell ref="Y98:Z99"/>
    <mergeCell ref="M69:V73"/>
    <mergeCell ref="K124:L124"/>
    <mergeCell ref="W44:X44"/>
    <mergeCell ref="P41:V44"/>
    <mergeCell ref="B33:J36"/>
    <mergeCell ref="W108:X108"/>
    <mergeCell ref="N46:N49"/>
    <mergeCell ref="W47:X47"/>
    <mergeCell ref="Y110:Z112"/>
    <mergeCell ref="Y78:Z78"/>
    <mergeCell ref="M142:V142"/>
    <mergeCell ref="A10:F10"/>
    <mergeCell ref="B26:L29"/>
    <mergeCell ref="Y40:Z40"/>
    <mergeCell ref="W134:X134"/>
    <mergeCell ref="M79:V79"/>
    <mergeCell ref="W121:X121"/>
    <mergeCell ref="Y80:Z80"/>
    <mergeCell ref="M144:V144"/>
    <mergeCell ref="M104:V105"/>
    <mergeCell ref="W111:X111"/>
    <mergeCell ref="K34:L34"/>
    <mergeCell ref="W33:X33"/>
    <mergeCell ref="T16:Z16"/>
    <mergeCell ref="B74:Z74"/>
    <mergeCell ref="K36:L36"/>
    <mergeCell ref="A21:F21"/>
    <mergeCell ref="W35:X35"/>
    <mergeCell ref="B54:J57"/>
    <mergeCell ref="Y35:Z35"/>
    <mergeCell ref="M84:V85"/>
    <mergeCell ref="D59:J59"/>
    <mergeCell ref="B41:J44"/>
    <mergeCell ref="K140:L140"/>
    <mergeCell ref="W66:X66"/>
    <mergeCell ref="M86:V87"/>
    <mergeCell ref="W126:X126"/>
    <mergeCell ref="W109:X109"/>
    <mergeCell ref="A16:C19"/>
    <mergeCell ref="P60:V60"/>
    <mergeCell ref="W59:X59"/>
    <mergeCell ref="W46:X46"/>
    <mergeCell ref="W117:X117"/>
    <mergeCell ref="Y46:Z46"/>
    <mergeCell ref="W48:X48"/>
    <mergeCell ref="B68:L68"/>
    <mergeCell ref="Y48:Z48"/>
    <mergeCell ref="A1:Z6"/>
    <mergeCell ref="W112:X112"/>
    <mergeCell ref="B76:L76"/>
    <mergeCell ref="A156:F157"/>
    <mergeCell ref="K49:L49"/>
    <mergeCell ref="M145:V145"/>
    <mergeCell ref="Y56:Z56"/>
    <mergeCell ref="O37:O40"/>
    <mergeCell ref="K113:L113"/>
    <mergeCell ref="M76:V76"/>
    <mergeCell ref="M147:V147"/>
    <mergeCell ref="P58:V58"/>
    <mergeCell ref="W114:X114"/>
    <mergeCell ref="G12:M12"/>
    <mergeCell ref="W136:X141"/>
    <mergeCell ref="B23:L23"/>
    <mergeCell ref="Y136:Z141"/>
    <mergeCell ref="Y59:Z59"/>
    <mergeCell ref="Y34:Z34"/>
    <mergeCell ref="W43:X43"/>
    <mergeCell ref="K115:L115"/>
    <mergeCell ref="B87:L87"/>
    <mergeCell ref="K42:L42"/>
    <mergeCell ref="Y49:Z49"/>
    <mergeCell ref="Y36:Z36"/>
    <mergeCell ref="B113:J115"/>
    <mergeCell ref="W130:X130"/>
    <mergeCell ref="M132:V134"/>
    <mergeCell ref="M100:V101"/>
    <mergeCell ref="K141:L141"/>
    <mergeCell ref="B64:L64"/>
    <mergeCell ref="M31:V31"/>
    <mergeCell ref="W67:X67"/>
    <mergeCell ref="K37:L37"/>
    <mergeCell ref="W132:X132"/>
    <mergeCell ref="N13:P16"/>
    <mergeCell ref="Y92:Z93"/>
    <mergeCell ref="W119:X119"/>
    <mergeCell ref="M102:V103"/>
    <mergeCell ref="K118:L118"/>
    <mergeCell ref="W94:X95"/>
    <mergeCell ref="Y94:Z95"/>
    <mergeCell ref="D17:F17"/>
    <mergeCell ref="W133:X133"/>
    <mergeCell ref="Y62:Z62"/>
    <mergeCell ref="W127:X127"/>
    <mergeCell ref="Y54:Z54"/>
    <mergeCell ref="W64:X64"/>
    <mergeCell ref="Y64:Z64"/>
    <mergeCell ref="B77:L77"/>
    <mergeCell ref="W51:X51"/>
    <mergeCell ref="Y51:Z51"/>
    <mergeCell ref="K134:L134"/>
    <mergeCell ref="B32:Z32"/>
    <mergeCell ref="Y126:Z131"/>
    <mergeCell ref="W122:X122"/>
    <mergeCell ref="O46:O49"/>
    <mergeCell ref="M107:V109"/>
    <mergeCell ref="G13:M13"/>
    <mergeCell ref="B24:L24"/>
    <mergeCell ref="Y33:Z33"/>
    <mergeCell ref="B95:L95"/>
    <mergeCell ref="M52:M53"/>
    <mergeCell ref="B89:L89"/>
    <mergeCell ref="G15:M15"/>
    <mergeCell ref="Y107:Z109"/>
    <mergeCell ref="Y82:Z83"/>
    <mergeCell ref="Y75:Z75"/>
    <mergeCell ref="B97:L97"/>
    <mergeCell ref="M25:V29"/>
    <mergeCell ref="W110:X110"/>
    <mergeCell ref="Y39:Z39"/>
    <mergeCell ref="K126:L126"/>
    <mergeCell ref="O33:O36"/>
    <mergeCell ref="K109:L109"/>
    <mergeCell ref="K47:L47"/>
    <mergeCell ref="W102:X103"/>
    <mergeCell ref="O41:O44"/>
    <mergeCell ref="K46:L46"/>
    <mergeCell ref="K40:L40"/>
    <mergeCell ref="K111:L111"/>
    <mergeCell ref="G10:M10"/>
    <mergeCell ref="W143:X144"/>
    <mergeCell ref="B83:L83"/>
    <mergeCell ref="B143:L143"/>
    <mergeCell ref="Y57:Z57"/>
    <mergeCell ref="Y88:Z89"/>
    <mergeCell ref="Y23:Z23"/>
    <mergeCell ref="M117:V125"/>
    <mergeCell ref="B85:L85"/>
    <mergeCell ref="K137:L137"/>
    <mergeCell ref="D58:J58"/>
    <mergeCell ref="P54:V57"/>
    <mergeCell ref="K139:L139"/>
    <mergeCell ref="W146:X146"/>
    <mergeCell ref="Y146:Z146"/>
    <mergeCell ref="K114:L114"/>
    <mergeCell ref="M54:M57"/>
    <mergeCell ref="W90:X91"/>
    <mergeCell ref="Y90:Z91"/>
    <mergeCell ref="B96:L96"/>
    <mergeCell ref="B45:Z45"/>
    <mergeCell ref="G21:M21"/>
    <mergeCell ref="W98:X99"/>
    <mergeCell ref="Y113:Z115"/>
    <mergeCell ref="N9:S9"/>
    <mergeCell ref="B98:L98"/>
    <mergeCell ref="Y60:Z60"/>
    <mergeCell ref="K59:L59"/>
    <mergeCell ref="K130:L130"/>
    <mergeCell ref="K117:L117"/>
    <mergeCell ref="Y69:Z73"/>
    <mergeCell ref="B139:J141"/>
    <mergeCell ref="K132:L132"/>
    <mergeCell ref="K48:L48"/>
    <mergeCell ref="G18:M18"/>
    <mergeCell ref="K125:L125"/>
    <mergeCell ref="K112:L112"/>
    <mergeCell ref="W38:X38"/>
    <mergeCell ref="M136:V138"/>
    <mergeCell ref="K127:L127"/>
    <mergeCell ref="A155:Z155"/>
    <mergeCell ref="B91:L91"/>
    <mergeCell ref="W40:X40"/>
    <mergeCell ref="W96:X97"/>
    <mergeCell ref="Y96:Z97"/>
    <mergeCell ref="A158:F158"/>
    <mergeCell ref="M24:V24"/>
    <mergeCell ref="B93:L93"/>
    <mergeCell ref="Y58:Z58"/>
    <mergeCell ref="M66:V66"/>
    <mergeCell ref="B86:L86"/>
    <mergeCell ref="K138:L138"/>
    <mergeCell ref="Y104:Z105"/>
    <mergeCell ref="G158:M158"/>
    <mergeCell ref="A159:F159"/>
    <mergeCell ref="O54:O57"/>
    <mergeCell ref="B126:J131"/>
    <mergeCell ref="B106:Z106"/>
    <mergeCell ref="B101:L101"/>
    <mergeCell ref="M68:V68"/>
    <mergeCell ref="P63:V63"/>
    <mergeCell ref="M67:V67"/>
    <mergeCell ref="T9:Z9"/>
    <mergeCell ref="B104:L104"/>
    <mergeCell ref="B61:Z61"/>
    <mergeCell ref="M50:M51"/>
    <mergeCell ref="N54:N57"/>
    <mergeCell ref="Y84:Z85"/>
    <mergeCell ref="N41:N44"/>
    <mergeCell ref="K133:L133"/>
    <mergeCell ref="Y86:Z87"/>
    <mergeCell ref="B66:L66"/>
    <mergeCell ref="P50:V53"/>
    <mergeCell ref="M94:V95"/>
    <mergeCell ref="K51:L51"/>
    <mergeCell ref="K122:L122"/>
    <mergeCell ref="W79:X79"/>
    <mergeCell ref="W54:X54"/>
    <mergeCell ref="Y79:Z79"/>
    <mergeCell ref="B67:L67"/>
    <mergeCell ref="W41:X41"/>
    <mergeCell ref="W56:X56"/>
    <mergeCell ref="B69:L69"/>
    <mergeCell ref="A9:F9"/>
    <mergeCell ref="M37:M40"/>
    <mergeCell ref="W145:X145"/>
    <mergeCell ref="Q16:S16"/>
    <mergeCell ref="Y145:Z145"/>
    <mergeCell ref="A11:F11"/>
    <mergeCell ref="W147:X147"/>
    <mergeCell ref="Y76:Z76"/>
    <mergeCell ref="M92:V93"/>
    <mergeCell ref="M77:V77"/>
    <mergeCell ref="B37:J40"/>
    <mergeCell ref="W34:X34"/>
    <mergeCell ref="B136:J138"/>
    <mergeCell ref="A149:Z154"/>
    <mergeCell ref="W36:X36"/>
    <mergeCell ref="K60:L60"/>
    <mergeCell ref="B105:L105"/>
    <mergeCell ref="Y132:Z134"/>
    <mergeCell ref="B135:Z135"/>
    <mergeCell ref="M46:M49"/>
    <mergeCell ref="W31:X31"/>
    <mergeCell ref="Y100:Z101"/>
    <mergeCell ref="T14:Z14"/>
    <mergeCell ref="B50:J53"/>
    <mergeCell ref="Y31:Z31"/>
    <mergeCell ref="W125:X125"/>
    <mergeCell ref="K136:L136"/>
    <mergeCell ref="Y102:Z103"/>
    <mergeCell ref="W120:X120"/>
    <mergeCell ref="W107:X107"/>
    <mergeCell ref="W57:X57"/>
    <mergeCell ref="M82:V83"/>
    <mergeCell ref="B75:L75"/>
    <mergeCell ref="W49:X49"/>
    <mergeCell ref="B62:L62"/>
    <mergeCell ref="T13:Z13"/>
    <mergeCell ref="K108:L108"/>
    <mergeCell ref="A12:F12"/>
    <mergeCell ref="B65:Z65"/>
    <mergeCell ref="A14:F14"/>
    <mergeCell ref="Y44:Z44"/>
    <mergeCell ref="D60:J60"/>
    <mergeCell ref="M143:V143"/>
    <mergeCell ref="W75:X75"/>
    <mergeCell ref="B46:J49"/>
    <mergeCell ref="B88:L88"/>
    <mergeCell ref="W62:X62"/>
    <mergeCell ref="B82:L82"/>
    <mergeCell ref="M78:V78"/>
    <mergeCell ref="B146:L146"/>
    <mergeCell ref="W52:X52"/>
    <mergeCell ref="W39:X39"/>
    <mergeCell ref="Y25:Z29"/>
    <mergeCell ref="K38:L38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2026-03-17T02:59:38Z</dcterms:created>
  <dcterms:modified xsi:type="dcterms:W3CDTF">2026-03-29T03:52:38Z</dcterms:modified>
  <cp:lastModifiedBy>Heron, Chris</cp:lastModifiedBy>
</cp:coreProperties>
</file>