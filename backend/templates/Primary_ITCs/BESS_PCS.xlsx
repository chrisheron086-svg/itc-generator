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heron\Documents\itc-generator\itc-generator\backend\templates\Primary_ITCs\"/>
    </mc:Choice>
  </mc:AlternateContent>
  <xr:revisionPtr revIDLastSave="0" documentId="11_AA38309C9560A09E656C64F554295E7C16E44F78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B3-EL-TC-200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8" i="1" l="1"/>
  <c r="P64" i="1"/>
  <c r="P63" i="1"/>
  <c r="P62" i="1"/>
  <c r="P50" i="1"/>
  <c r="P46" i="1"/>
  <c r="P37" i="1"/>
  <c r="P33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</calcChain>
</file>

<file path=xl/sharedStrings.xml><?xml version="1.0" encoding="utf-8"?>
<sst xmlns="http://schemas.openxmlformats.org/spreadsheetml/2006/main" count="237" uniqueCount="138">
  <si>
    <t>Consolidated Power Projects
Project Details</t>
  </si>
  <si>
    <t>Client
Project Details</t>
  </si>
  <si>
    <t>CPP Project Name:</t>
  </si>
  <si>
    <t>Client Project Title:</t>
  </si>
  <si>
    <t>CPP Job No:</t>
  </si>
  <si>
    <t>Client Project Number / Separable Portion / Stage</t>
  </si>
  <si>
    <t>Bay / Cubicle / Panel Name:</t>
  </si>
  <si>
    <t>Site Location:</t>
  </si>
  <si>
    <t>Bay / Cubicle / Panel Number:</t>
  </si>
  <si>
    <t>ITP Prepared by:</t>
  </si>
  <si>
    <t>Client                Checked by:</t>
  </si>
  <si>
    <t>Name:</t>
  </si>
  <si>
    <t>Position:</t>
  </si>
  <si>
    <t>Date:</t>
  </si>
  <si>
    <t>Signature:</t>
  </si>
  <si>
    <t>Checked by:</t>
  </si>
  <si>
    <t>Tested by:</t>
  </si>
  <si>
    <t>Test Commencement Date:</t>
  </si>
  <si>
    <t>LINE No:</t>
  </si>
  <si>
    <t>Test Category / Function</t>
  </si>
  <si>
    <t>Acceptance Criteria</t>
  </si>
  <si>
    <t>Result / Notes</t>
  </si>
  <si>
    <t>Pass/Fail
(ü/û)</t>
  </si>
  <si>
    <t xml:space="preserve"> Protection Relay</t>
  </si>
  <si>
    <t>Acceptance criteria derived from relay manual</t>
  </si>
  <si>
    <t>Link To Manual</t>
  </si>
  <si>
    <t xml:space="preserve">Nameplate Photo:
</t>
  </si>
  <si>
    <t>Matches:
-Purchase Order
-Functional Design Specification</t>
  </si>
  <si>
    <t>Metering</t>
  </si>
  <si>
    <t>Nominal current and voltage</t>
  </si>
  <si>
    <t>Relay metering matches test set output</t>
  </si>
  <si>
    <t>Link to screenshot</t>
  </si>
  <si>
    <t>Phase Overcurrent</t>
  </si>
  <si>
    <t>IDMT Pickup</t>
  </si>
  <si>
    <t>A</t>
  </si>
  <si>
    <t>±</t>
  </si>
  <si>
    <t>Link to plot</t>
  </si>
  <si>
    <t>B</t>
  </si>
  <si>
    <t>C</t>
  </si>
  <si>
    <t>A-B-C</t>
  </si>
  <si>
    <t xml:space="preserve">High-Set Pickup </t>
  </si>
  <si>
    <t>Timing Characteristic</t>
  </si>
  <si>
    <t>s</t>
  </si>
  <si>
    <t>IDMT Element
5% or 20ms (Greater of the two)
High-Set Element
1% or 20ms (Greater of the two) + 30ms</t>
  </si>
  <si>
    <t>As per manufacturers curve</t>
  </si>
  <si>
    <t>Earth Fault Overcurrent</t>
  </si>
  <si>
    <t>High-Set Pickup</t>
  </si>
  <si>
    <t>0.00</t>
  </si>
  <si>
    <t>Stage 1</t>
  </si>
  <si>
    <t>Pickup</t>
  </si>
  <si>
    <t>NA</t>
  </si>
  <si>
    <t>Hz</t>
  </si>
  <si>
    <t>Dropoff</t>
  </si>
  <si>
    <t>Timing</t>
  </si>
  <si>
    <t>Circuit Breaker Fail</t>
  </si>
  <si>
    <t>Current Check Pickup Phase</t>
  </si>
  <si>
    <t>x IN</t>
  </si>
  <si>
    <t>Current Check Pickup Ground</t>
  </si>
  <si>
    <t>Operate Time</t>
  </si>
  <si>
    <t>ms</t>
  </si>
  <si>
    <t>Other Settings</t>
  </si>
  <si>
    <t>Logic</t>
  </si>
  <si>
    <t>Correct as per logic drawing</t>
  </si>
  <si>
    <t>LEDs</t>
  </si>
  <si>
    <t>RMU</t>
  </si>
  <si>
    <t>Mechanical Operations</t>
  </si>
  <si>
    <t>RMU 111-1 Disconnector OPEN / CLOSE</t>
  </si>
  <si>
    <t>RMU SEMAPHORES OPERATE</t>
  </si>
  <si>
    <t>RMU 111-1 Earth Switch OPEN / CLOSE</t>
  </si>
  <si>
    <t>RMU 112-1 Disconnector OPEN / CLOSE</t>
  </si>
  <si>
    <t>RMU 112-1 Earth Switch OPEN / CLOSE</t>
  </si>
  <si>
    <t>RMU 113-1 Disconnector OPEN / CLOSE</t>
  </si>
  <si>
    <t>RMU 113-1 Earth Switch OPEN / CLOSE</t>
  </si>
  <si>
    <t>Interlock Test</t>
  </si>
  <si>
    <t>RMU 111-1 Disconnector CLOSE</t>
  </si>
  <si>
    <t>RMU 111-1 Earth Switch  BLOCKED</t>
  </si>
  <si>
    <t xml:space="preserve">RMU 111-1 Earth Switch OPEN </t>
  </si>
  <si>
    <t>RMU 111-1 Cable Cubicle BLOCKED</t>
  </si>
  <si>
    <t>RMU 111-1 Disconnector OPEN</t>
  </si>
  <si>
    <t>RMU 111-1 Disconnector  BLOCKED</t>
  </si>
  <si>
    <t>RMU 111-1 Earth Switch CLOSED</t>
  </si>
  <si>
    <t>RMU 111-1 Cable Cubicle OPEN</t>
  </si>
  <si>
    <t>RMU 112-1 Disconnector CLOSE</t>
  </si>
  <si>
    <t>RMU 112-1 Earth Switch  BLOCKED</t>
  </si>
  <si>
    <t xml:space="preserve">RMU 112-1 Earth Switch OPEN </t>
  </si>
  <si>
    <t>RMU 112-1 Cable Cubicle BLOCKED</t>
  </si>
  <si>
    <t>RMU 112-1 Disconnector OPEN</t>
  </si>
  <si>
    <t>RMU 112-1 Disconnector  BLOCKED</t>
  </si>
  <si>
    <t>RMU 112-1 Earth Switch CLOSED</t>
  </si>
  <si>
    <t>RMU 112-1 Cable Cubicle OPEN</t>
  </si>
  <si>
    <t>RMU 113-1 Disconnector CLOSE</t>
  </si>
  <si>
    <t>RMU 113-1 Earth Switch  BLOCKED</t>
  </si>
  <si>
    <t xml:space="preserve">RMU 113-1 Earth Switch OPEN </t>
  </si>
  <si>
    <t>RMU 113-1 Cable Cubicle BLOCKED</t>
  </si>
  <si>
    <t>RMU 113-1 Disconnector OPEN</t>
  </si>
  <si>
    <t>RMU 113-1 Disconnector  BLOCKED</t>
  </si>
  <si>
    <t>RMU 113-1 Earth Switch CLOSED</t>
  </si>
  <si>
    <t>RMU 113-1 Cable Cubicle OPEN</t>
  </si>
  <si>
    <t>Ductor Testing</t>
  </si>
  <si>
    <t>RMU 111-1 - RMU 113-1</t>
  </si>
  <si>
    <t>L1-L1</t>
  </si>
  <si>
    <t>&lt;10mΩ</t>
  </si>
  <si>
    <t>L2-L2</t>
  </si>
  <si>
    <t>L3-L3</t>
  </si>
  <si>
    <t>RMU 111-1</t>
  </si>
  <si>
    <t>L1-E</t>
  </si>
  <si>
    <t>L2-E</t>
  </si>
  <si>
    <t>L3-E</t>
  </si>
  <si>
    <t>RMU 113-1</t>
  </si>
  <si>
    <t>Insulation Resistance (ALL SWITCHES CLOSED)</t>
  </si>
  <si>
    <t>RMU 11-1 MV-LV</t>
  </si>
  <si>
    <t>MVA-LVA</t>
  </si>
  <si>
    <t xml:space="preserve">    &gt;200 MΩ</t>
  </si>
  <si>
    <t>MVA-LVB</t>
  </si>
  <si>
    <t>MVA-LVC</t>
  </si>
  <si>
    <t>MVB-LVA</t>
  </si>
  <si>
    <t>MVB-LVB</t>
  </si>
  <si>
    <t>MVB-LVC</t>
  </si>
  <si>
    <t>MVC-LVA</t>
  </si>
  <si>
    <t>MVC-LVB</t>
  </si>
  <si>
    <t>MVC-LVC</t>
  </si>
  <si>
    <t>RMU 11-1 MV</t>
  </si>
  <si>
    <t>L1-L2</t>
  </si>
  <si>
    <t>L2-L3</t>
  </si>
  <si>
    <t>L3-L1</t>
  </si>
  <si>
    <t>RMU 11-1 LV</t>
  </si>
  <si>
    <t>Transformer Testing</t>
  </si>
  <si>
    <t>Winding Turns Ratio Test</t>
  </si>
  <si>
    <t>Link to test report</t>
  </si>
  <si>
    <t>Winding Reistance</t>
  </si>
  <si>
    <t>Circuit Breaker Testing</t>
  </si>
  <si>
    <t>Circuit Breaker Timing Test</t>
  </si>
  <si>
    <t>Circuit Breaker Functional Test</t>
  </si>
  <si>
    <t>Current Transformer Testing</t>
  </si>
  <si>
    <t>Relay Trips via Primary injection @ 100A</t>
  </si>
  <si>
    <t>Relay Trips via Primary injection @ 22.5A (EF)</t>
  </si>
  <si>
    <t>NOTES, COMMENTS OR OTHER INFORMATION</t>
  </si>
  <si>
    <t>ITP Completed (name):
(CPP Project Commissioning Officer)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</si>
</sst>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"/>
  </numFmts>
  <fonts count="17" x14ac:knownFonts="1">
    <font>
      <sz val="11"/>
      <color theme="1"/>
      <name val="Calibri"/>
      <family val="2"/>
      <scheme val="minor"/>
    </font>
    <font>
      <sz val="28"/>
      <color theme="1"/>
      <name val="Arial"/>
      <family val="2"/>
    </font>
    <font>
      <sz val="10"/>
      <color theme="1"/>
      <name val="Arial"/>
      <family val="2"/>
    </font>
    <font>
      <b/>
      <sz val="12"/>
      <color theme="0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6"/>
      <color theme="1"/>
      <name val="Rastanty Cortez"/>
    </font>
    <font>
      <b/>
      <sz val="8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6"/>
      <color theme="1"/>
      <name val="Wingdings"/>
      <charset val="2"/>
    </font>
    <font>
      <sz val="9"/>
      <color theme="1"/>
      <name val="Arial"/>
      <family val="2"/>
    </font>
    <font>
      <sz val="16"/>
      <color theme="1"/>
      <name val="Arial"/>
      <family val="2"/>
    </font>
    <font>
      <sz val="8"/>
      <color rgb="FFFF0000"/>
      <name val="Arial"/>
      <family val="2"/>
    </font>
    <font>
      <sz val="10"/>
      <color rgb="FF00B050"/>
      <name val="Courier New"/>
      <family val="3"/>
    </font>
    <font>
      <b/>
      <sz val="16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lightUp"/>
    </fill>
    <fill>
      <patternFill patternType="lightUp">
        <bgColor theme="0" tint="-4.9989318521683403E-2"/>
      </patternFill>
    </fill>
    <fill>
      <patternFill patternType="solid">
        <fgColor indexed="65"/>
        <bgColor indexed="64"/>
      </patternFill>
    </fill>
    <fill>
      <patternFill patternType="lightGray"/>
    </fill>
    <fill>
      <patternFill patternType="lightGray">
        <bgColor theme="0" tint="-4.9989318521683403E-2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09">
    <xf numFmtId="0" fontId="0" fillId="0" borderId="0" xfId="0"/>
    <xf numFmtId="0" fontId="5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vertical="top" wrapText="1"/>
    </xf>
    <xf numFmtId="0" fontId="4" fillId="0" borderId="7" xfId="0" applyFont="1" applyBorder="1" applyAlignment="1">
      <alignment vertical="top" wrapText="1"/>
    </xf>
    <xf numFmtId="0" fontId="5" fillId="0" borderId="7" xfId="0" applyFont="1" applyBorder="1" applyAlignment="1">
      <alignment vertical="center" wrapText="1"/>
    </xf>
    <xf numFmtId="0" fontId="5" fillId="0" borderId="7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4" fillId="0" borderId="0" xfId="0" applyFont="1"/>
    <xf numFmtId="0" fontId="5" fillId="9" borderId="6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9" borderId="13" xfId="0" applyFont="1" applyFill="1" applyBorder="1" applyAlignment="1">
      <alignment horizontal="center" vertical="center" wrapText="1"/>
    </xf>
    <xf numFmtId="0" fontId="5" fillId="9" borderId="10" xfId="0" applyFont="1" applyFill="1" applyBorder="1" applyAlignment="1">
      <alignment horizontal="center" vertical="center" wrapText="1"/>
    </xf>
    <xf numFmtId="0" fontId="13" fillId="9" borderId="13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49" fontId="5" fillId="0" borderId="2" xfId="0" applyNumberFormat="1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49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wrapText="1"/>
    </xf>
    <xf numFmtId="0" fontId="4" fillId="3" borderId="1" xfId="0" applyFont="1" applyFill="1" applyBorder="1" applyAlignment="1">
      <alignment horizontal="left" vertical="top" wrapText="1"/>
    </xf>
    <xf numFmtId="0" fontId="0" fillId="0" borderId="9" xfId="0" applyBorder="1"/>
    <xf numFmtId="0" fontId="0" fillId="0" borderId="10" xfId="0" applyBorder="1"/>
    <xf numFmtId="0" fontId="10" fillId="5" borderId="1" xfId="0" applyFont="1" applyFill="1" applyBorder="1" applyAlignment="1">
      <alignment horizontal="center" wrapText="1"/>
    </xf>
    <xf numFmtId="0" fontId="5" fillId="7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5" fillId="4" borderId="10" xfId="0" applyFont="1" applyFill="1" applyBorder="1" applyAlignment="1">
      <alignment horizontal="left" vertical="center" wrapText="1"/>
    </xf>
    <xf numFmtId="0" fontId="0" fillId="0" borderId="5" xfId="0" applyBorder="1"/>
    <xf numFmtId="0" fontId="10" fillId="0" borderId="1" xfId="0" applyFont="1" applyBorder="1" applyAlignment="1">
      <alignment horizontal="center" vertical="center" wrapText="1"/>
    </xf>
    <xf numFmtId="0" fontId="5" fillId="8" borderId="13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wrapText="1"/>
    </xf>
    <xf numFmtId="0" fontId="0" fillId="0" borderId="4" xfId="0" applyBorder="1"/>
    <xf numFmtId="0" fontId="5" fillId="4" borderId="1" xfId="0" applyFont="1" applyFill="1" applyBorder="1" applyAlignment="1">
      <alignment horizontal="left" vertical="center" wrapText="1"/>
    </xf>
    <xf numFmtId="0" fontId="0" fillId="0" borderId="0" xfId="0"/>
    <xf numFmtId="0" fontId="3" fillId="2" borderId="1" xfId="0" applyFont="1" applyFill="1" applyBorder="1" applyAlignment="1">
      <alignment horizontal="left" vertical="center" wrapText="1"/>
    </xf>
    <xf numFmtId="0" fontId="5" fillId="0" borderId="11" xfId="0" applyFont="1" applyBorder="1" applyAlignment="1">
      <alignment horizontal="left" vertical="top" wrapText="1"/>
    </xf>
    <xf numFmtId="0" fontId="5" fillId="0" borderId="1" xfId="0" applyFont="1" applyBorder="1" applyAlignment="1" applyProtection="1">
      <alignment horizontal="left" vertical="center" wrapText="1"/>
      <protection locked="0"/>
    </xf>
    <xf numFmtId="0" fontId="0" fillId="0" borderId="9" xfId="0" applyBorder="1" applyProtection="1">
      <protection locked="0"/>
    </xf>
    <xf numFmtId="0" fontId="0" fillId="0" borderId="10" xfId="0" applyBorder="1" applyProtection="1">
      <protection locked="0"/>
    </xf>
    <xf numFmtId="0" fontId="5" fillId="3" borderId="1" xfId="0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left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0" fillId="0" borderId="12" xfId="0" applyBorder="1"/>
    <xf numFmtId="165" fontId="13" fillId="4" borderId="1" xfId="0" applyNumberFormat="1" applyFont="1" applyFill="1" applyBorder="1" applyAlignment="1">
      <alignment horizontal="center" vertical="center" wrapText="1"/>
    </xf>
    <xf numFmtId="2" fontId="13" fillId="4" borderId="1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5" fillId="0" borderId="12" xfId="0" applyFont="1" applyBorder="1" applyAlignment="1">
      <alignment horizont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0" fillId="0" borderId="14" xfId="0" applyBorder="1"/>
    <xf numFmtId="14" fontId="5" fillId="0" borderId="1" xfId="0" applyNumberFormat="1" applyFont="1" applyBorder="1" applyAlignment="1" applyProtection="1">
      <alignment horizontal="left" vertical="center" wrapText="1"/>
      <protection locked="0"/>
    </xf>
    <xf numFmtId="0" fontId="2" fillId="4" borderId="13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wrapText="1"/>
    </xf>
    <xf numFmtId="14" fontId="5" fillId="0" borderId="1" xfId="0" applyNumberFormat="1" applyFont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wrapText="1"/>
    </xf>
    <xf numFmtId="0" fontId="5" fillId="6" borderId="10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13" fillId="4" borderId="13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2" fontId="13" fillId="6" borderId="6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 applyProtection="1">
      <alignment horizontal="left" vertical="center" wrapText="1"/>
      <protection locked="0"/>
    </xf>
    <xf numFmtId="0" fontId="5" fillId="3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13" fillId="6" borderId="15" xfId="0" applyFont="1" applyFill="1" applyBorder="1" applyAlignment="1">
      <alignment horizontal="center" vertical="center" wrapText="1"/>
    </xf>
    <xf numFmtId="165" fontId="13" fillId="6" borderId="1" xfId="0" applyNumberFormat="1" applyFont="1" applyFill="1" applyBorder="1" applyAlignment="1">
      <alignment horizontal="center" vertical="center" wrapText="1"/>
    </xf>
    <xf numFmtId="0" fontId="5" fillId="7" borderId="13" xfId="0" applyFont="1" applyFill="1" applyBorder="1" applyAlignment="1">
      <alignment horizontal="left" vertical="center" wrapText="1"/>
    </xf>
    <xf numFmtId="0" fontId="16" fillId="0" borderId="12" xfId="0" applyFont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1" fillId="5" borderId="0" xfId="0" applyFont="1" applyFill="1" applyAlignment="1">
      <alignment horizontal="center" vertical="center"/>
    </xf>
    <xf numFmtId="0" fontId="5" fillId="5" borderId="13" xfId="0" applyFont="1" applyFill="1" applyBorder="1" applyAlignment="1">
      <alignment horizontal="left" vertical="center" wrapText="1"/>
    </xf>
    <xf numFmtId="0" fontId="12" fillId="5" borderId="1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B172"/>
  <sheetViews>
    <sheetView tabSelected="1" workbookViewId="0">
      <selection activeCell="G18" sqref="G18:M18"/>
    </sheetView>
  </sheetViews>
  <sheetFormatPr defaultRowHeight="15" x14ac:dyDescent="0.25"/>
  <cols>
    <col min="1" max="2" width="5" customWidth="1"/>
    <col min="13" max="13" width="5.7109375" customWidth="1"/>
    <col min="14" max="14" width="5" customWidth="1"/>
    <col min="16" max="16" width="5.140625" customWidth="1"/>
    <col min="23" max="23" width="7.42578125" customWidth="1"/>
    <col min="25" max="25" width="5" customWidth="1"/>
    <col min="28" max="28" width="6.5703125" customWidth="1"/>
    <col min="29" max="29" width="5" customWidth="1"/>
  </cols>
  <sheetData>
    <row r="1" spans="1:26" ht="22.5" customHeight="1" x14ac:dyDescent="0.25">
      <c r="A1" s="89"/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8"/>
    </row>
    <row r="2" spans="1:26" ht="22.5" customHeight="1" x14ac:dyDescent="0.25">
      <c r="A2" s="49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43"/>
    </row>
    <row r="3" spans="1:26" ht="22.5" customHeight="1" x14ac:dyDescent="0.25">
      <c r="A3" s="49"/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43"/>
    </row>
    <row r="4" spans="1:26" ht="22.5" customHeight="1" x14ac:dyDescent="0.25">
      <c r="A4" s="49"/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43"/>
    </row>
    <row r="5" spans="1:26" ht="22.5" customHeight="1" x14ac:dyDescent="0.25">
      <c r="A5" s="49"/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43"/>
    </row>
    <row r="6" spans="1:26" ht="22.5" customHeight="1" x14ac:dyDescent="0.25">
      <c r="A6" s="39"/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1"/>
    </row>
    <row r="7" spans="1:26" ht="22.5" customHeight="1" x14ac:dyDescent="0.25">
      <c r="A7" s="52" t="s">
        <v>0</v>
      </c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8"/>
      <c r="N7" s="52" t="s">
        <v>1</v>
      </c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8"/>
    </row>
    <row r="8" spans="1:26" ht="22.5" customHeight="1" x14ac:dyDescent="0.25">
      <c r="A8" s="39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1"/>
      <c r="N8" s="39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1"/>
    </row>
    <row r="9" spans="1:26" ht="22.5" customHeight="1" x14ac:dyDescent="0.25">
      <c r="A9" s="30" t="s">
        <v>2</v>
      </c>
      <c r="B9" s="31"/>
      <c r="C9" s="31"/>
      <c r="D9" s="31"/>
      <c r="E9" s="31"/>
      <c r="F9" s="32"/>
      <c r="G9" s="47"/>
      <c r="H9" s="31"/>
      <c r="I9" s="31"/>
      <c r="J9" s="31"/>
      <c r="K9" s="31"/>
      <c r="L9" s="31"/>
      <c r="M9" s="32"/>
      <c r="N9" s="30" t="s">
        <v>3</v>
      </c>
      <c r="O9" s="31"/>
      <c r="P9" s="31"/>
      <c r="Q9" s="31"/>
      <c r="R9" s="31"/>
      <c r="S9" s="32"/>
      <c r="T9" s="50"/>
      <c r="U9" s="31"/>
      <c r="V9" s="31"/>
      <c r="W9" s="31"/>
      <c r="X9" s="31"/>
      <c r="Y9" s="31"/>
      <c r="Z9" s="32"/>
    </row>
    <row r="10" spans="1:26" ht="22.5" customHeight="1" x14ac:dyDescent="0.25">
      <c r="A10" s="30" t="s">
        <v>4</v>
      </c>
      <c r="B10" s="31"/>
      <c r="C10" s="31"/>
      <c r="D10" s="31"/>
      <c r="E10" s="31"/>
      <c r="F10" s="32"/>
      <c r="G10" s="47"/>
      <c r="H10" s="31"/>
      <c r="I10" s="31"/>
      <c r="J10" s="31"/>
      <c r="K10" s="31"/>
      <c r="L10" s="31"/>
      <c r="M10" s="32"/>
      <c r="N10" s="30" t="s">
        <v>5</v>
      </c>
      <c r="O10" s="31"/>
      <c r="P10" s="31"/>
      <c r="Q10" s="31"/>
      <c r="R10" s="31"/>
      <c r="S10" s="32"/>
      <c r="T10" s="50"/>
      <c r="U10" s="31"/>
      <c r="V10" s="31"/>
      <c r="W10" s="31"/>
      <c r="X10" s="31"/>
      <c r="Y10" s="31"/>
      <c r="Z10" s="32"/>
    </row>
    <row r="11" spans="1:26" ht="22.5" customHeight="1" x14ac:dyDescent="0.25">
      <c r="A11" s="30" t="s">
        <v>6</v>
      </c>
      <c r="B11" s="31"/>
      <c r="C11" s="31"/>
      <c r="D11" s="31"/>
      <c r="E11" s="31"/>
      <c r="F11" s="32"/>
      <c r="G11" s="47"/>
      <c r="H11" s="31"/>
      <c r="I11" s="31"/>
      <c r="J11" s="31"/>
      <c r="K11" s="31"/>
      <c r="L11" s="31"/>
      <c r="M11" s="32"/>
      <c r="N11" s="30" t="s">
        <v>7</v>
      </c>
      <c r="O11" s="37"/>
      <c r="P11" s="37"/>
      <c r="Q11" s="37"/>
      <c r="R11" s="37"/>
      <c r="S11" s="38"/>
      <c r="T11" s="50"/>
      <c r="U11" s="37"/>
      <c r="V11" s="37"/>
      <c r="W11" s="37"/>
      <c r="X11" s="37"/>
      <c r="Y11" s="37"/>
      <c r="Z11" s="38"/>
    </row>
    <row r="12" spans="1:26" ht="22.5" customHeight="1" x14ac:dyDescent="0.25">
      <c r="A12" s="30" t="s">
        <v>8</v>
      </c>
      <c r="B12" s="31"/>
      <c r="C12" s="31"/>
      <c r="D12" s="31"/>
      <c r="E12" s="31"/>
      <c r="F12" s="32"/>
      <c r="G12" s="47"/>
      <c r="H12" s="31"/>
      <c r="I12" s="31"/>
      <c r="J12" s="31"/>
      <c r="K12" s="31"/>
      <c r="L12" s="31"/>
      <c r="M12" s="32"/>
      <c r="N12" s="39"/>
      <c r="O12" s="40"/>
      <c r="P12" s="40"/>
      <c r="Q12" s="40"/>
      <c r="R12" s="40"/>
      <c r="S12" s="41"/>
      <c r="T12" s="39"/>
      <c r="U12" s="40"/>
      <c r="V12" s="40"/>
      <c r="W12" s="40"/>
      <c r="X12" s="40"/>
      <c r="Y12" s="40"/>
      <c r="Z12" s="41"/>
    </row>
    <row r="13" spans="1:26" ht="22.5" customHeight="1" x14ac:dyDescent="0.25">
      <c r="A13" s="30" t="s">
        <v>9</v>
      </c>
      <c r="B13" s="31"/>
      <c r="C13" s="31"/>
      <c r="D13" s="31"/>
      <c r="E13" s="31"/>
      <c r="F13" s="32"/>
      <c r="G13" s="54"/>
      <c r="H13" s="55"/>
      <c r="I13" s="55"/>
      <c r="J13" s="55"/>
      <c r="K13" s="55"/>
      <c r="L13" s="55"/>
      <c r="M13" s="56"/>
      <c r="N13" s="30" t="s">
        <v>10</v>
      </c>
      <c r="O13" s="37"/>
      <c r="P13" s="38"/>
      <c r="Q13" s="30" t="s">
        <v>11</v>
      </c>
      <c r="R13" s="31"/>
      <c r="S13" s="32"/>
      <c r="T13" s="54"/>
      <c r="U13" s="55"/>
      <c r="V13" s="55"/>
      <c r="W13" s="55"/>
      <c r="X13" s="55"/>
      <c r="Y13" s="55"/>
      <c r="Z13" s="56"/>
    </row>
    <row r="14" spans="1:26" ht="22.5" customHeight="1" x14ac:dyDescent="0.25">
      <c r="A14" s="30" t="s">
        <v>12</v>
      </c>
      <c r="B14" s="31"/>
      <c r="C14" s="31"/>
      <c r="D14" s="31"/>
      <c r="E14" s="31"/>
      <c r="F14" s="32"/>
      <c r="G14" s="54"/>
      <c r="H14" s="55"/>
      <c r="I14" s="55"/>
      <c r="J14" s="55"/>
      <c r="K14" s="55"/>
      <c r="L14" s="55"/>
      <c r="M14" s="56"/>
      <c r="N14" s="49"/>
      <c r="O14" s="51"/>
      <c r="P14" s="43"/>
      <c r="Q14" s="30" t="s">
        <v>12</v>
      </c>
      <c r="R14" s="31"/>
      <c r="S14" s="32"/>
      <c r="T14" s="54"/>
      <c r="U14" s="55"/>
      <c r="V14" s="55"/>
      <c r="W14" s="55"/>
      <c r="X14" s="55"/>
      <c r="Y14" s="55"/>
      <c r="Z14" s="56"/>
    </row>
    <row r="15" spans="1:26" ht="22.5" customHeight="1" x14ac:dyDescent="0.25">
      <c r="A15" s="30" t="s">
        <v>13</v>
      </c>
      <c r="B15" s="31"/>
      <c r="C15" s="31"/>
      <c r="D15" s="31"/>
      <c r="E15" s="31"/>
      <c r="F15" s="32"/>
      <c r="G15" s="68"/>
      <c r="H15" s="55"/>
      <c r="I15" s="55"/>
      <c r="J15" s="55"/>
      <c r="K15" s="55"/>
      <c r="L15" s="55"/>
      <c r="M15" s="56"/>
      <c r="N15" s="49"/>
      <c r="O15" s="51"/>
      <c r="P15" s="43"/>
      <c r="Q15" s="30" t="s">
        <v>14</v>
      </c>
      <c r="R15" s="31"/>
      <c r="S15" s="32"/>
      <c r="T15" s="54"/>
      <c r="U15" s="55"/>
      <c r="V15" s="55"/>
      <c r="W15" s="55"/>
      <c r="X15" s="55"/>
      <c r="Y15" s="55"/>
      <c r="Z15" s="56"/>
    </row>
    <row r="16" spans="1:26" ht="22.5" customHeight="1" x14ac:dyDescent="0.25">
      <c r="A16" s="30" t="s">
        <v>15</v>
      </c>
      <c r="B16" s="37"/>
      <c r="C16" s="38"/>
      <c r="D16" s="30" t="s">
        <v>11</v>
      </c>
      <c r="E16" s="31"/>
      <c r="F16" s="32"/>
      <c r="G16" s="54"/>
      <c r="H16" s="55"/>
      <c r="I16" s="55"/>
      <c r="J16" s="55"/>
      <c r="K16" s="55"/>
      <c r="L16" s="55"/>
      <c r="M16" s="56"/>
      <c r="N16" s="39"/>
      <c r="O16" s="40"/>
      <c r="P16" s="41"/>
      <c r="Q16" s="30" t="s">
        <v>13</v>
      </c>
      <c r="R16" s="31"/>
      <c r="S16" s="32"/>
      <c r="T16" s="68"/>
      <c r="U16" s="55"/>
      <c r="V16" s="55"/>
      <c r="W16" s="55"/>
      <c r="X16" s="55"/>
      <c r="Y16" s="55"/>
      <c r="Z16" s="56"/>
    </row>
    <row r="17" spans="1:26" ht="22.5" customHeight="1" x14ac:dyDescent="0.25">
      <c r="A17" s="49"/>
      <c r="B17" s="51"/>
      <c r="C17" s="43"/>
      <c r="D17" s="30" t="s">
        <v>12</v>
      </c>
      <c r="E17" s="31"/>
      <c r="F17" s="32"/>
      <c r="G17" s="54"/>
      <c r="H17" s="55"/>
      <c r="I17" s="55"/>
      <c r="J17" s="55"/>
      <c r="K17" s="55"/>
      <c r="L17" s="55"/>
      <c r="M17" s="56"/>
      <c r="N17" s="1"/>
      <c r="O17" s="2"/>
      <c r="P17" s="2"/>
      <c r="Q17" s="2"/>
      <c r="R17" s="3"/>
      <c r="S17" s="3"/>
      <c r="T17" s="3"/>
      <c r="U17" s="3"/>
      <c r="V17" s="3"/>
      <c r="W17" s="3"/>
      <c r="X17" s="3"/>
      <c r="Y17" s="3"/>
      <c r="Z17" s="4"/>
    </row>
    <row r="18" spans="1:26" ht="22.5" customHeight="1" x14ac:dyDescent="0.25">
      <c r="A18" s="49"/>
      <c r="B18" s="51"/>
      <c r="C18" s="43"/>
      <c r="D18" s="30" t="s">
        <v>14</v>
      </c>
      <c r="E18" s="31"/>
      <c r="F18" s="32"/>
      <c r="G18" s="98"/>
      <c r="H18" s="55"/>
      <c r="I18" s="55"/>
      <c r="J18" s="55"/>
      <c r="K18" s="55"/>
      <c r="L18" s="55"/>
      <c r="M18" s="56"/>
      <c r="N18" s="1"/>
      <c r="O18" s="2"/>
      <c r="P18" s="2"/>
      <c r="Q18" s="2"/>
      <c r="R18" s="3"/>
      <c r="S18" s="3"/>
      <c r="T18" s="3"/>
      <c r="U18" s="3"/>
      <c r="V18" s="3"/>
      <c r="W18" s="3"/>
      <c r="X18" s="3"/>
      <c r="Y18" s="3"/>
      <c r="Z18" s="4"/>
    </row>
    <row r="19" spans="1:26" ht="22.5" customHeight="1" x14ac:dyDescent="0.25">
      <c r="A19" s="39"/>
      <c r="B19" s="40"/>
      <c r="C19" s="41"/>
      <c r="D19" s="30" t="s">
        <v>13</v>
      </c>
      <c r="E19" s="31"/>
      <c r="F19" s="32"/>
      <c r="G19" s="68"/>
      <c r="H19" s="55"/>
      <c r="I19" s="55"/>
      <c r="J19" s="55"/>
      <c r="K19" s="55"/>
      <c r="L19" s="55"/>
      <c r="M19" s="56"/>
      <c r="N19" s="1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6"/>
    </row>
    <row r="20" spans="1:26" ht="22.5" customHeight="1" x14ac:dyDescent="0.25">
      <c r="A20" s="30" t="s">
        <v>16</v>
      </c>
      <c r="B20" s="31"/>
      <c r="C20" s="31"/>
      <c r="D20" s="31"/>
      <c r="E20" s="31"/>
      <c r="F20" s="32"/>
      <c r="G20" s="54"/>
      <c r="H20" s="55"/>
      <c r="I20" s="55"/>
      <c r="J20" s="55"/>
      <c r="K20" s="55"/>
      <c r="L20" s="55"/>
      <c r="M20" s="56"/>
      <c r="O20" s="2"/>
      <c r="P20" s="2"/>
      <c r="Q20" s="2"/>
      <c r="R20" s="3"/>
      <c r="S20" s="3"/>
      <c r="T20" s="3"/>
      <c r="U20" s="3"/>
      <c r="V20" s="3"/>
      <c r="W20" s="3"/>
      <c r="X20" s="3"/>
      <c r="Y20" s="3"/>
      <c r="Z20" s="4"/>
    </row>
    <row r="21" spans="1:26" ht="22.5" customHeight="1" x14ac:dyDescent="0.25">
      <c r="A21" s="30" t="s">
        <v>17</v>
      </c>
      <c r="B21" s="31"/>
      <c r="C21" s="31"/>
      <c r="D21" s="31"/>
      <c r="E21" s="31"/>
      <c r="F21" s="32"/>
      <c r="G21" s="97"/>
      <c r="H21" s="31"/>
      <c r="I21" s="31"/>
      <c r="J21" s="31"/>
      <c r="K21" s="31"/>
      <c r="L21" s="31"/>
      <c r="M21" s="32"/>
      <c r="O21" s="2"/>
      <c r="P21" s="2"/>
      <c r="Q21" s="2"/>
      <c r="R21" s="3"/>
      <c r="S21" s="3"/>
      <c r="T21" s="3"/>
      <c r="U21" s="3"/>
      <c r="V21" s="3"/>
      <c r="W21" s="3"/>
      <c r="X21" s="3"/>
      <c r="Y21" s="3"/>
      <c r="Z21" s="4"/>
    </row>
    <row r="22" spans="1:26" ht="22.5" customHeight="1" x14ac:dyDescent="0.25">
      <c r="A22" s="7"/>
      <c r="B22" s="8"/>
      <c r="C22" s="8"/>
      <c r="D22" s="8"/>
      <c r="E22" s="8"/>
      <c r="F22" s="8"/>
      <c r="G22" s="9"/>
      <c r="H22" s="9"/>
      <c r="I22" s="9"/>
      <c r="J22" s="9"/>
      <c r="K22" s="9"/>
      <c r="L22" s="9"/>
      <c r="M22" s="10"/>
      <c r="N22" s="10"/>
      <c r="O22" s="11"/>
      <c r="P22" s="11"/>
      <c r="Q22" s="11"/>
      <c r="R22" s="12"/>
      <c r="S22" s="12"/>
      <c r="T22" s="12"/>
      <c r="U22" s="12"/>
      <c r="V22" s="12"/>
      <c r="W22" s="12"/>
      <c r="X22" s="12"/>
      <c r="Y22" s="12"/>
      <c r="Z22" s="13"/>
    </row>
    <row r="23" spans="1:26" ht="22.5" customHeight="1" x14ac:dyDescent="0.25">
      <c r="A23" s="14" t="s">
        <v>18</v>
      </c>
      <c r="B23" s="74" t="s">
        <v>19</v>
      </c>
      <c r="C23" s="31"/>
      <c r="D23" s="31"/>
      <c r="E23" s="31"/>
      <c r="F23" s="31"/>
      <c r="G23" s="31"/>
      <c r="H23" s="31"/>
      <c r="I23" s="31"/>
      <c r="J23" s="31"/>
      <c r="K23" s="31"/>
      <c r="L23" s="32"/>
      <c r="M23" s="74" t="s">
        <v>20</v>
      </c>
      <c r="N23" s="31"/>
      <c r="O23" s="31"/>
      <c r="P23" s="31"/>
      <c r="Q23" s="31"/>
      <c r="R23" s="31"/>
      <c r="S23" s="31"/>
      <c r="T23" s="31"/>
      <c r="U23" s="31"/>
      <c r="V23" s="32"/>
      <c r="W23" s="74" t="s">
        <v>21</v>
      </c>
      <c r="X23" s="32"/>
      <c r="Y23" s="96" t="s">
        <v>22</v>
      </c>
      <c r="Z23" s="32"/>
    </row>
    <row r="24" spans="1:26" ht="22.5" customHeight="1" x14ac:dyDescent="0.25">
      <c r="A24" s="15">
        <v>1</v>
      </c>
      <c r="B24" s="63" t="s">
        <v>23</v>
      </c>
      <c r="C24" s="31"/>
      <c r="D24" s="31"/>
      <c r="E24" s="31"/>
      <c r="F24" s="31"/>
      <c r="G24" s="31"/>
      <c r="H24" s="31"/>
      <c r="I24" s="31"/>
      <c r="J24" s="31"/>
      <c r="K24" s="31"/>
      <c r="L24" s="32"/>
      <c r="M24" s="99" t="s">
        <v>24</v>
      </c>
      <c r="N24" s="31"/>
      <c r="O24" s="31"/>
      <c r="P24" s="31"/>
      <c r="Q24" s="31"/>
      <c r="R24" s="31"/>
      <c r="S24" s="31"/>
      <c r="T24" s="31"/>
      <c r="U24" s="31"/>
      <c r="V24" s="32"/>
      <c r="W24" s="76" t="s">
        <v>25</v>
      </c>
      <c r="X24" s="32"/>
      <c r="Y24" s="77"/>
      <c r="Z24" s="32"/>
    </row>
    <row r="25" spans="1:26" ht="22.5" customHeight="1" x14ac:dyDescent="0.25">
      <c r="A25" s="15">
        <f t="shared" ref="A25:A56" si="0">A24+1</f>
        <v>2</v>
      </c>
      <c r="B25" s="53" t="s">
        <v>26</v>
      </c>
      <c r="C25" s="37"/>
      <c r="D25" s="37"/>
      <c r="E25" s="37"/>
      <c r="F25" s="37"/>
      <c r="G25" s="37"/>
      <c r="H25" s="37"/>
      <c r="I25" s="37"/>
      <c r="J25" s="37"/>
      <c r="K25" s="37"/>
      <c r="L25" s="38"/>
      <c r="M25" s="85" t="s">
        <v>27</v>
      </c>
      <c r="N25" s="37"/>
      <c r="O25" s="37"/>
      <c r="P25" s="37"/>
      <c r="Q25" s="37"/>
      <c r="R25" s="37"/>
      <c r="S25" s="37"/>
      <c r="T25" s="37"/>
      <c r="U25" s="37"/>
      <c r="V25" s="38"/>
      <c r="W25" s="44"/>
      <c r="X25" s="38"/>
      <c r="Y25" s="44"/>
      <c r="Z25" s="38"/>
    </row>
    <row r="26" spans="1:26" ht="22.5" customHeight="1" x14ac:dyDescent="0.25">
      <c r="A26" s="15">
        <f t="shared" si="0"/>
        <v>3</v>
      </c>
      <c r="B26" s="64"/>
      <c r="C26" s="51"/>
      <c r="D26" s="51"/>
      <c r="E26" s="51"/>
      <c r="F26" s="51"/>
      <c r="G26" s="51"/>
      <c r="H26" s="51"/>
      <c r="I26" s="51"/>
      <c r="J26" s="51"/>
      <c r="K26" s="51"/>
      <c r="L26" s="43"/>
      <c r="M26" s="49"/>
      <c r="N26" s="51"/>
      <c r="O26" s="51"/>
      <c r="P26" s="51"/>
      <c r="Q26" s="51"/>
      <c r="R26" s="51"/>
      <c r="S26" s="51"/>
      <c r="T26" s="51"/>
      <c r="U26" s="51"/>
      <c r="V26" s="43"/>
      <c r="W26" s="49"/>
      <c r="X26" s="43"/>
      <c r="Y26" s="49"/>
      <c r="Z26" s="43"/>
    </row>
    <row r="27" spans="1:26" ht="22.5" customHeight="1" x14ac:dyDescent="0.25">
      <c r="A27" s="15">
        <f t="shared" si="0"/>
        <v>4</v>
      </c>
      <c r="B27" s="49"/>
      <c r="C27" s="51"/>
      <c r="D27" s="51"/>
      <c r="E27" s="51"/>
      <c r="F27" s="51"/>
      <c r="G27" s="51"/>
      <c r="H27" s="51"/>
      <c r="I27" s="51"/>
      <c r="J27" s="51"/>
      <c r="K27" s="51"/>
      <c r="L27" s="43"/>
      <c r="M27" s="49"/>
      <c r="N27" s="51"/>
      <c r="O27" s="51"/>
      <c r="P27" s="51"/>
      <c r="Q27" s="51"/>
      <c r="R27" s="51"/>
      <c r="S27" s="51"/>
      <c r="T27" s="51"/>
      <c r="U27" s="51"/>
      <c r="V27" s="43"/>
      <c r="W27" s="49"/>
      <c r="X27" s="43"/>
      <c r="Y27" s="49"/>
      <c r="Z27" s="43"/>
    </row>
    <row r="28" spans="1:26" ht="22.5" customHeight="1" x14ac:dyDescent="0.25">
      <c r="A28" s="15">
        <f t="shared" si="0"/>
        <v>5</v>
      </c>
      <c r="B28" s="49"/>
      <c r="C28" s="51"/>
      <c r="D28" s="51"/>
      <c r="E28" s="51"/>
      <c r="F28" s="51"/>
      <c r="G28" s="51"/>
      <c r="H28" s="51"/>
      <c r="I28" s="51"/>
      <c r="J28" s="51"/>
      <c r="K28" s="51"/>
      <c r="L28" s="43"/>
      <c r="M28" s="49"/>
      <c r="N28" s="51"/>
      <c r="O28" s="51"/>
      <c r="P28" s="51"/>
      <c r="Q28" s="51"/>
      <c r="R28" s="51"/>
      <c r="S28" s="51"/>
      <c r="T28" s="51"/>
      <c r="U28" s="51"/>
      <c r="V28" s="43"/>
      <c r="W28" s="49"/>
      <c r="X28" s="43"/>
      <c r="Y28" s="49"/>
      <c r="Z28" s="43"/>
    </row>
    <row r="29" spans="1:26" ht="22.5" customHeight="1" x14ac:dyDescent="0.25">
      <c r="A29" s="15">
        <f t="shared" si="0"/>
        <v>6</v>
      </c>
      <c r="B29" s="39"/>
      <c r="C29" s="40"/>
      <c r="D29" s="40"/>
      <c r="E29" s="40"/>
      <c r="F29" s="40"/>
      <c r="G29" s="40"/>
      <c r="H29" s="40"/>
      <c r="I29" s="40"/>
      <c r="J29" s="40"/>
      <c r="K29" s="40"/>
      <c r="L29" s="41"/>
      <c r="M29" s="49"/>
      <c r="N29" s="51"/>
      <c r="O29" s="51"/>
      <c r="P29" s="51"/>
      <c r="Q29" s="51"/>
      <c r="R29" s="51"/>
      <c r="S29" s="51"/>
      <c r="T29" s="51"/>
      <c r="U29" s="51"/>
      <c r="V29" s="43"/>
      <c r="W29" s="39"/>
      <c r="X29" s="41"/>
      <c r="Y29" s="39"/>
      <c r="Z29" s="41"/>
    </row>
    <row r="30" spans="1:26" ht="22.5" customHeight="1" x14ac:dyDescent="0.25">
      <c r="A30" s="15">
        <f t="shared" si="0"/>
        <v>7</v>
      </c>
      <c r="B30" s="50" t="s">
        <v>28</v>
      </c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2"/>
    </row>
    <row r="31" spans="1:26" ht="22.5" customHeight="1" x14ac:dyDescent="0.3">
      <c r="A31" s="15">
        <f t="shared" si="0"/>
        <v>8</v>
      </c>
      <c r="B31" s="79" t="s">
        <v>29</v>
      </c>
      <c r="C31" s="31"/>
      <c r="D31" s="31"/>
      <c r="E31" s="31"/>
      <c r="F31" s="31"/>
      <c r="G31" s="31"/>
      <c r="H31" s="31"/>
      <c r="I31" s="31"/>
      <c r="J31" s="31"/>
      <c r="K31" s="31"/>
      <c r="L31" s="32"/>
      <c r="M31" s="93" t="s">
        <v>30</v>
      </c>
      <c r="N31" s="31"/>
      <c r="O31" s="31"/>
      <c r="P31" s="31"/>
      <c r="Q31" s="31"/>
      <c r="R31" s="31"/>
      <c r="S31" s="31"/>
      <c r="T31" s="31"/>
      <c r="U31" s="31"/>
      <c r="V31" s="32"/>
      <c r="W31" s="106" t="s">
        <v>31</v>
      </c>
      <c r="X31" s="51"/>
      <c r="Y31" s="108"/>
      <c r="Z31" s="32"/>
    </row>
    <row r="32" spans="1:26" ht="22.5" customHeight="1" x14ac:dyDescent="0.25">
      <c r="A32" s="15">
        <f t="shared" si="0"/>
        <v>9</v>
      </c>
      <c r="B32" s="50" t="s">
        <v>32</v>
      </c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2"/>
    </row>
    <row r="33" spans="1:28" ht="22.5" customHeight="1" x14ac:dyDescent="0.25">
      <c r="A33" s="15">
        <f t="shared" si="0"/>
        <v>10</v>
      </c>
      <c r="B33" s="86" t="s">
        <v>33</v>
      </c>
      <c r="C33" s="37"/>
      <c r="D33" s="37"/>
      <c r="E33" s="37"/>
      <c r="F33" s="37"/>
      <c r="G33" s="37"/>
      <c r="H33" s="37"/>
      <c r="I33" s="37"/>
      <c r="J33" s="38"/>
      <c r="K33" s="34" t="s">
        <v>34</v>
      </c>
      <c r="L33" s="32"/>
      <c r="M33" s="81">
        <v>90</v>
      </c>
      <c r="N33" s="42" t="s">
        <v>34</v>
      </c>
      <c r="O33" s="36" t="s">
        <v>35</v>
      </c>
      <c r="P33" s="61">
        <f>MAX((M33*0.05),(0.005))</f>
        <v>4.5</v>
      </c>
      <c r="Q33" s="37"/>
      <c r="R33" s="37"/>
      <c r="S33" s="37"/>
      <c r="T33" s="37"/>
      <c r="U33" s="37"/>
      <c r="V33" s="38"/>
      <c r="W33" s="83" t="s">
        <v>36</v>
      </c>
      <c r="X33" s="32"/>
      <c r="Y33" s="48"/>
      <c r="Z33" s="32"/>
    </row>
    <row r="34" spans="1:28" ht="22.5" customHeight="1" x14ac:dyDescent="0.25">
      <c r="A34" s="15">
        <f t="shared" si="0"/>
        <v>11</v>
      </c>
      <c r="B34" s="49"/>
      <c r="C34" s="51"/>
      <c r="D34" s="51"/>
      <c r="E34" s="51"/>
      <c r="F34" s="51"/>
      <c r="G34" s="51"/>
      <c r="H34" s="51"/>
      <c r="I34" s="51"/>
      <c r="J34" s="43"/>
      <c r="K34" s="34" t="s">
        <v>37</v>
      </c>
      <c r="L34" s="32"/>
      <c r="M34" s="49"/>
      <c r="N34" s="43"/>
      <c r="O34" s="67"/>
      <c r="P34" s="49"/>
      <c r="Q34" s="51"/>
      <c r="R34" s="51"/>
      <c r="S34" s="51"/>
      <c r="T34" s="51"/>
      <c r="U34" s="51"/>
      <c r="V34" s="43"/>
      <c r="W34" s="83"/>
      <c r="X34" s="32"/>
      <c r="Y34" s="48"/>
      <c r="Z34" s="32"/>
      <c r="AB34" s="16"/>
    </row>
    <row r="35" spans="1:28" ht="22.5" customHeight="1" x14ac:dyDescent="0.25">
      <c r="A35" s="15">
        <f t="shared" si="0"/>
        <v>12</v>
      </c>
      <c r="B35" s="49"/>
      <c r="C35" s="51"/>
      <c r="D35" s="51"/>
      <c r="E35" s="51"/>
      <c r="F35" s="51"/>
      <c r="G35" s="51"/>
      <c r="H35" s="51"/>
      <c r="I35" s="51"/>
      <c r="J35" s="43"/>
      <c r="K35" s="34" t="s">
        <v>38</v>
      </c>
      <c r="L35" s="32"/>
      <c r="M35" s="49"/>
      <c r="N35" s="43"/>
      <c r="O35" s="67"/>
      <c r="P35" s="49"/>
      <c r="Q35" s="51"/>
      <c r="R35" s="51"/>
      <c r="S35" s="51"/>
      <c r="T35" s="51"/>
      <c r="U35" s="51"/>
      <c r="V35" s="43"/>
      <c r="W35" s="83"/>
      <c r="X35" s="32"/>
      <c r="Y35" s="48"/>
      <c r="Z35" s="32"/>
    </row>
    <row r="36" spans="1:28" ht="22.5" customHeight="1" x14ac:dyDescent="0.25">
      <c r="A36" s="15">
        <f t="shared" si="0"/>
        <v>13</v>
      </c>
      <c r="B36" s="39"/>
      <c r="C36" s="40"/>
      <c r="D36" s="40"/>
      <c r="E36" s="40"/>
      <c r="F36" s="40"/>
      <c r="G36" s="40"/>
      <c r="H36" s="40"/>
      <c r="I36" s="40"/>
      <c r="J36" s="41"/>
      <c r="K36" s="46" t="s">
        <v>39</v>
      </c>
      <c r="L36" s="32"/>
      <c r="M36" s="39"/>
      <c r="N36" s="41"/>
      <c r="O36" s="60"/>
      <c r="P36" s="39"/>
      <c r="Q36" s="40"/>
      <c r="R36" s="40"/>
      <c r="S36" s="40"/>
      <c r="T36" s="40"/>
      <c r="U36" s="40"/>
      <c r="V36" s="41"/>
      <c r="W36" s="105"/>
      <c r="X36" s="32"/>
      <c r="Y36" s="33"/>
      <c r="Z36" s="32"/>
    </row>
    <row r="37" spans="1:28" ht="22.5" customHeight="1" x14ac:dyDescent="0.25">
      <c r="A37" s="15">
        <f t="shared" si="0"/>
        <v>14</v>
      </c>
      <c r="B37" s="103" t="s">
        <v>40</v>
      </c>
      <c r="C37" s="37"/>
      <c r="D37" s="37"/>
      <c r="E37" s="37"/>
      <c r="F37" s="37"/>
      <c r="G37" s="37"/>
      <c r="H37" s="37"/>
      <c r="I37" s="37"/>
      <c r="J37" s="37"/>
      <c r="K37" s="34" t="s">
        <v>34</v>
      </c>
      <c r="L37" s="32"/>
      <c r="M37" s="81">
        <v>750</v>
      </c>
      <c r="N37" s="42" t="s">
        <v>34</v>
      </c>
      <c r="O37" s="36" t="s">
        <v>35</v>
      </c>
      <c r="P37" s="61">
        <f>MAX((M37*0.05),(0.005))</f>
        <v>37.5</v>
      </c>
      <c r="Q37" s="37"/>
      <c r="R37" s="37"/>
      <c r="S37" s="37"/>
      <c r="T37" s="37"/>
      <c r="U37" s="37"/>
      <c r="V37" s="38"/>
      <c r="W37" s="83"/>
      <c r="X37" s="32"/>
      <c r="Y37" s="48"/>
      <c r="Z37" s="32"/>
    </row>
    <row r="38" spans="1:28" ht="22.5" customHeight="1" x14ac:dyDescent="0.25">
      <c r="A38" s="15">
        <f t="shared" si="0"/>
        <v>15</v>
      </c>
      <c r="B38" s="49"/>
      <c r="C38" s="51"/>
      <c r="D38" s="51"/>
      <c r="E38" s="51"/>
      <c r="F38" s="51"/>
      <c r="G38" s="51"/>
      <c r="H38" s="51"/>
      <c r="I38" s="51"/>
      <c r="J38" s="51"/>
      <c r="K38" s="34" t="s">
        <v>37</v>
      </c>
      <c r="L38" s="32"/>
      <c r="M38" s="49"/>
      <c r="N38" s="43"/>
      <c r="O38" s="67"/>
      <c r="P38" s="49"/>
      <c r="Q38" s="51"/>
      <c r="R38" s="51"/>
      <c r="S38" s="51"/>
      <c r="T38" s="51"/>
      <c r="U38" s="51"/>
      <c r="V38" s="43"/>
      <c r="W38" s="83"/>
      <c r="X38" s="32"/>
      <c r="Y38" s="48"/>
      <c r="Z38" s="32"/>
    </row>
    <row r="39" spans="1:28" ht="22.5" customHeight="1" x14ac:dyDescent="0.25">
      <c r="A39" s="15">
        <f t="shared" si="0"/>
        <v>16</v>
      </c>
      <c r="B39" s="49"/>
      <c r="C39" s="51"/>
      <c r="D39" s="51"/>
      <c r="E39" s="51"/>
      <c r="F39" s="51"/>
      <c r="G39" s="51"/>
      <c r="H39" s="51"/>
      <c r="I39" s="51"/>
      <c r="J39" s="51"/>
      <c r="K39" s="34" t="s">
        <v>38</v>
      </c>
      <c r="L39" s="32"/>
      <c r="M39" s="49"/>
      <c r="N39" s="43"/>
      <c r="O39" s="67"/>
      <c r="P39" s="49"/>
      <c r="Q39" s="51"/>
      <c r="R39" s="51"/>
      <c r="S39" s="51"/>
      <c r="T39" s="51"/>
      <c r="U39" s="51"/>
      <c r="V39" s="43"/>
      <c r="W39" s="83"/>
      <c r="X39" s="32"/>
      <c r="Y39" s="48"/>
      <c r="Z39" s="32"/>
    </row>
    <row r="40" spans="1:28" ht="22.5" customHeight="1" x14ac:dyDescent="0.25">
      <c r="A40" s="15">
        <f t="shared" si="0"/>
        <v>17</v>
      </c>
      <c r="B40" s="39"/>
      <c r="C40" s="40"/>
      <c r="D40" s="40"/>
      <c r="E40" s="40"/>
      <c r="F40" s="40"/>
      <c r="G40" s="40"/>
      <c r="H40" s="40"/>
      <c r="I40" s="40"/>
      <c r="J40" s="40"/>
      <c r="K40" s="46" t="s">
        <v>39</v>
      </c>
      <c r="L40" s="32"/>
      <c r="M40" s="39"/>
      <c r="N40" s="41"/>
      <c r="O40" s="60"/>
      <c r="P40" s="39"/>
      <c r="Q40" s="40"/>
      <c r="R40" s="40"/>
      <c r="S40" s="40"/>
      <c r="T40" s="40"/>
      <c r="U40" s="40"/>
      <c r="V40" s="41"/>
      <c r="W40" s="46"/>
      <c r="X40" s="32"/>
      <c r="Y40" s="33"/>
      <c r="Z40" s="32"/>
    </row>
    <row r="41" spans="1:28" ht="22.5" customHeight="1" x14ac:dyDescent="0.25">
      <c r="A41" s="15">
        <f t="shared" si="0"/>
        <v>18</v>
      </c>
      <c r="B41" s="88" t="s">
        <v>41</v>
      </c>
      <c r="C41" s="37"/>
      <c r="D41" s="37"/>
      <c r="E41" s="37"/>
      <c r="F41" s="37"/>
      <c r="G41" s="37"/>
      <c r="H41" s="37"/>
      <c r="I41" s="37"/>
      <c r="J41" s="37"/>
      <c r="K41" s="34" t="s">
        <v>34</v>
      </c>
      <c r="L41" s="32"/>
      <c r="M41" s="59">
        <v>0.1</v>
      </c>
      <c r="N41" s="42" t="s">
        <v>42</v>
      </c>
      <c r="O41" s="36" t="s">
        <v>35</v>
      </c>
      <c r="P41" s="59" t="s">
        <v>43</v>
      </c>
      <c r="Q41" s="37"/>
      <c r="R41" s="37"/>
      <c r="S41" s="37"/>
      <c r="T41" s="37"/>
      <c r="U41" s="37"/>
      <c r="V41" s="38"/>
      <c r="W41" s="80" t="s">
        <v>44</v>
      </c>
      <c r="X41" s="32"/>
      <c r="Y41" s="48"/>
      <c r="Z41" s="32"/>
    </row>
    <row r="42" spans="1:28" ht="22.5" customHeight="1" x14ac:dyDescent="0.25">
      <c r="A42" s="15">
        <f t="shared" si="0"/>
        <v>19</v>
      </c>
      <c r="B42" s="49"/>
      <c r="C42" s="51"/>
      <c r="D42" s="51"/>
      <c r="E42" s="51"/>
      <c r="F42" s="51"/>
      <c r="G42" s="51"/>
      <c r="H42" s="51"/>
      <c r="I42" s="51"/>
      <c r="J42" s="51"/>
      <c r="K42" s="34" t="s">
        <v>37</v>
      </c>
      <c r="L42" s="32"/>
      <c r="M42" s="60"/>
      <c r="N42" s="43"/>
      <c r="O42" s="67"/>
      <c r="P42" s="49"/>
      <c r="Q42" s="51"/>
      <c r="R42" s="51"/>
      <c r="S42" s="51"/>
      <c r="T42" s="51"/>
      <c r="U42" s="51"/>
      <c r="V42" s="43"/>
      <c r="W42" s="80" t="s">
        <v>44</v>
      </c>
      <c r="X42" s="32"/>
      <c r="Y42" s="48"/>
      <c r="Z42" s="32"/>
    </row>
    <row r="43" spans="1:28" ht="22.5" customHeight="1" x14ac:dyDescent="0.25">
      <c r="A43" s="15">
        <f t="shared" si="0"/>
        <v>20</v>
      </c>
      <c r="B43" s="49"/>
      <c r="C43" s="51"/>
      <c r="D43" s="51"/>
      <c r="E43" s="51"/>
      <c r="F43" s="51"/>
      <c r="G43" s="51"/>
      <c r="H43" s="51"/>
      <c r="I43" s="51"/>
      <c r="J43" s="51"/>
      <c r="K43" s="34" t="s">
        <v>38</v>
      </c>
      <c r="L43" s="32"/>
      <c r="M43" s="62">
        <v>0.1</v>
      </c>
      <c r="N43" s="43"/>
      <c r="O43" s="67"/>
      <c r="P43" s="49"/>
      <c r="Q43" s="51"/>
      <c r="R43" s="51"/>
      <c r="S43" s="51"/>
      <c r="T43" s="51"/>
      <c r="U43" s="51"/>
      <c r="V43" s="43"/>
      <c r="W43" s="80" t="s">
        <v>44</v>
      </c>
      <c r="X43" s="32"/>
      <c r="Y43" s="48"/>
      <c r="Z43" s="32"/>
    </row>
    <row r="44" spans="1:28" ht="22.5" customHeight="1" x14ac:dyDescent="0.25">
      <c r="A44" s="15">
        <f t="shared" si="0"/>
        <v>21</v>
      </c>
      <c r="B44" s="39"/>
      <c r="C44" s="40"/>
      <c r="D44" s="40"/>
      <c r="E44" s="40"/>
      <c r="F44" s="40"/>
      <c r="G44" s="40"/>
      <c r="H44" s="40"/>
      <c r="I44" s="40"/>
      <c r="J44" s="40"/>
      <c r="K44" s="46" t="s">
        <v>39</v>
      </c>
      <c r="L44" s="32"/>
      <c r="M44" s="60"/>
      <c r="N44" s="41"/>
      <c r="O44" s="60"/>
      <c r="P44" s="39"/>
      <c r="Q44" s="40"/>
      <c r="R44" s="40"/>
      <c r="S44" s="40"/>
      <c r="T44" s="40"/>
      <c r="U44" s="40"/>
      <c r="V44" s="41"/>
      <c r="W44" s="80" t="s">
        <v>44</v>
      </c>
      <c r="X44" s="32"/>
      <c r="Y44" s="48"/>
      <c r="Z44" s="32"/>
    </row>
    <row r="45" spans="1:28" ht="22.5" customHeight="1" x14ac:dyDescent="0.25">
      <c r="A45" s="15">
        <f t="shared" si="0"/>
        <v>22</v>
      </c>
      <c r="B45" s="50" t="s">
        <v>45</v>
      </c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2"/>
    </row>
    <row r="46" spans="1:28" ht="22.5" customHeight="1" x14ac:dyDescent="0.25">
      <c r="A46" s="15">
        <f t="shared" si="0"/>
        <v>23</v>
      </c>
      <c r="B46" s="86" t="s">
        <v>33</v>
      </c>
      <c r="C46" s="37"/>
      <c r="D46" s="37"/>
      <c r="E46" s="37"/>
      <c r="F46" s="37"/>
      <c r="G46" s="37"/>
      <c r="H46" s="37"/>
      <c r="I46" s="37"/>
      <c r="J46" s="38"/>
      <c r="K46" s="34" t="s">
        <v>34</v>
      </c>
      <c r="L46" s="32"/>
      <c r="M46" s="81">
        <v>15</v>
      </c>
      <c r="N46" s="42" t="s">
        <v>34</v>
      </c>
      <c r="O46" s="36" t="s">
        <v>35</v>
      </c>
      <c r="P46" s="61">
        <f>MAX((M46*0.05),(0.005))</f>
        <v>0.75</v>
      </c>
      <c r="Q46" s="37"/>
      <c r="R46" s="37"/>
      <c r="S46" s="37"/>
      <c r="T46" s="37"/>
      <c r="U46" s="37"/>
      <c r="V46" s="38"/>
      <c r="W46" s="83"/>
      <c r="X46" s="32"/>
      <c r="Y46" s="48"/>
      <c r="Z46" s="32"/>
    </row>
    <row r="47" spans="1:28" ht="22.5" customHeight="1" x14ac:dyDescent="0.25">
      <c r="A47" s="15">
        <f t="shared" si="0"/>
        <v>24</v>
      </c>
      <c r="B47" s="49"/>
      <c r="C47" s="51"/>
      <c r="D47" s="51"/>
      <c r="E47" s="51"/>
      <c r="F47" s="51"/>
      <c r="G47" s="51"/>
      <c r="H47" s="51"/>
      <c r="I47" s="51"/>
      <c r="J47" s="43"/>
      <c r="K47" s="46" t="s">
        <v>37</v>
      </c>
      <c r="L47" s="32"/>
      <c r="M47" s="49"/>
      <c r="N47" s="43"/>
      <c r="O47" s="67"/>
      <c r="P47" s="49"/>
      <c r="Q47" s="51"/>
      <c r="R47" s="51"/>
      <c r="S47" s="51"/>
      <c r="T47" s="51"/>
      <c r="U47" s="51"/>
      <c r="V47" s="43"/>
      <c r="W47" s="46"/>
      <c r="X47" s="32"/>
      <c r="Y47" s="33"/>
      <c r="Z47" s="32"/>
    </row>
    <row r="48" spans="1:28" ht="22.5" customHeight="1" x14ac:dyDescent="0.25">
      <c r="A48" s="15">
        <f t="shared" si="0"/>
        <v>25</v>
      </c>
      <c r="B48" s="49"/>
      <c r="C48" s="51"/>
      <c r="D48" s="51"/>
      <c r="E48" s="51"/>
      <c r="F48" s="51"/>
      <c r="G48" s="51"/>
      <c r="H48" s="51"/>
      <c r="I48" s="51"/>
      <c r="J48" s="43"/>
      <c r="K48" s="46" t="s">
        <v>38</v>
      </c>
      <c r="L48" s="32"/>
      <c r="M48" s="49"/>
      <c r="N48" s="43"/>
      <c r="O48" s="67"/>
      <c r="P48" s="49"/>
      <c r="Q48" s="51"/>
      <c r="R48" s="51"/>
      <c r="S48" s="51"/>
      <c r="T48" s="51"/>
      <c r="U48" s="51"/>
      <c r="V48" s="43"/>
      <c r="W48" s="46"/>
      <c r="X48" s="32"/>
      <c r="Y48" s="33"/>
      <c r="Z48" s="32"/>
    </row>
    <row r="49" spans="1:26" ht="22.5" customHeight="1" x14ac:dyDescent="0.25">
      <c r="A49" s="15">
        <f t="shared" si="0"/>
        <v>26</v>
      </c>
      <c r="B49" s="39"/>
      <c r="C49" s="40"/>
      <c r="D49" s="40"/>
      <c r="E49" s="40"/>
      <c r="F49" s="40"/>
      <c r="G49" s="40"/>
      <c r="H49" s="40"/>
      <c r="I49" s="40"/>
      <c r="J49" s="41"/>
      <c r="K49" s="46" t="s">
        <v>39</v>
      </c>
      <c r="L49" s="32"/>
      <c r="M49" s="39"/>
      <c r="N49" s="41"/>
      <c r="O49" s="60"/>
      <c r="P49" s="39"/>
      <c r="Q49" s="40"/>
      <c r="R49" s="40"/>
      <c r="S49" s="40"/>
      <c r="T49" s="40"/>
      <c r="U49" s="40"/>
      <c r="V49" s="41"/>
      <c r="W49" s="46"/>
      <c r="X49" s="32"/>
      <c r="Y49" s="33"/>
      <c r="Z49" s="32"/>
    </row>
    <row r="50" spans="1:26" ht="22.5" customHeight="1" x14ac:dyDescent="0.25">
      <c r="A50" s="15">
        <f t="shared" si="0"/>
        <v>27</v>
      </c>
      <c r="B50" s="107" t="s">
        <v>46</v>
      </c>
      <c r="C50" s="37"/>
      <c r="D50" s="37"/>
      <c r="E50" s="37"/>
      <c r="F50" s="37"/>
      <c r="G50" s="37"/>
      <c r="H50" s="37"/>
      <c r="I50" s="37"/>
      <c r="J50" s="37"/>
      <c r="K50" s="46" t="s">
        <v>34</v>
      </c>
      <c r="L50" s="32"/>
      <c r="M50" s="101"/>
      <c r="N50" s="78" t="s">
        <v>34</v>
      </c>
      <c r="O50" s="66" t="s">
        <v>35</v>
      </c>
      <c r="P50" s="102">
        <f>MAX((M50*0.05),(0.005))</f>
        <v>5.0000000000000001E-3</v>
      </c>
      <c r="Q50" s="37"/>
      <c r="R50" s="37"/>
      <c r="S50" s="37"/>
      <c r="T50" s="37"/>
      <c r="U50" s="37"/>
      <c r="V50" s="38"/>
      <c r="W50" s="46"/>
      <c r="X50" s="32"/>
      <c r="Y50" s="33"/>
      <c r="Z50" s="32"/>
    </row>
    <row r="51" spans="1:26" ht="22.5" customHeight="1" x14ac:dyDescent="0.25">
      <c r="A51" s="15">
        <f t="shared" si="0"/>
        <v>28</v>
      </c>
      <c r="B51" s="49"/>
      <c r="C51" s="51"/>
      <c r="D51" s="51"/>
      <c r="E51" s="51"/>
      <c r="F51" s="51"/>
      <c r="G51" s="51"/>
      <c r="H51" s="51"/>
      <c r="I51" s="51"/>
      <c r="J51" s="51"/>
      <c r="K51" s="46" t="s">
        <v>37</v>
      </c>
      <c r="L51" s="32"/>
      <c r="M51" s="49"/>
      <c r="N51" s="43"/>
      <c r="O51" s="67"/>
      <c r="P51" s="49"/>
      <c r="Q51" s="51"/>
      <c r="R51" s="51"/>
      <c r="S51" s="51"/>
      <c r="T51" s="51"/>
      <c r="U51" s="51"/>
      <c r="V51" s="43"/>
      <c r="W51" s="46"/>
      <c r="X51" s="32"/>
      <c r="Y51" s="33"/>
      <c r="Z51" s="32"/>
    </row>
    <row r="52" spans="1:26" ht="22.5" customHeight="1" x14ac:dyDescent="0.25">
      <c r="A52" s="15">
        <f t="shared" si="0"/>
        <v>29</v>
      </c>
      <c r="B52" s="49"/>
      <c r="C52" s="51"/>
      <c r="D52" s="51"/>
      <c r="E52" s="51"/>
      <c r="F52" s="51"/>
      <c r="G52" s="51"/>
      <c r="H52" s="51"/>
      <c r="I52" s="51"/>
      <c r="J52" s="51"/>
      <c r="K52" s="46" t="s">
        <v>38</v>
      </c>
      <c r="L52" s="32"/>
      <c r="M52" s="94"/>
      <c r="N52" s="43"/>
      <c r="O52" s="67"/>
      <c r="P52" s="49"/>
      <c r="Q52" s="51"/>
      <c r="R52" s="51"/>
      <c r="S52" s="51"/>
      <c r="T52" s="51"/>
      <c r="U52" s="51"/>
      <c r="V52" s="43"/>
      <c r="W52" s="46"/>
      <c r="X52" s="32"/>
      <c r="Y52" s="33"/>
      <c r="Z52" s="32"/>
    </row>
    <row r="53" spans="1:26" ht="22.5" customHeight="1" x14ac:dyDescent="0.25">
      <c r="A53" s="15">
        <f t="shared" si="0"/>
        <v>30</v>
      </c>
      <c r="B53" s="39"/>
      <c r="C53" s="40"/>
      <c r="D53" s="40"/>
      <c r="E53" s="40"/>
      <c r="F53" s="40"/>
      <c r="G53" s="40"/>
      <c r="H53" s="40"/>
      <c r="I53" s="40"/>
      <c r="J53" s="40"/>
      <c r="K53" s="46" t="s">
        <v>39</v>
      </c>
      <c r="L53" s="32"/>
      <c r="M53" s="39"/>
      <c r="N53" s="41"/>
      <c r="O53" s="60"/>
      <c r="P53" s="39"/>
      <c r="Q53" s="40"/>
      <c r="R53" s="40"/>
      <c r="S53" s="40"/>
      <c r="T53" s="40"/>
      <c r="U53" s="40"/>
      <c r="V53" s="41"/>
      <c r="W53" s="46"/>
      <c r="X53" s="32"/>
      <c r="Y53" s="33"/>
      <c r="Z53" s="32"/>
    </row>
    <row r="54" spans="1:26" ht="22.5" customHeight="1" x14ac:dyDescent="0.25">
      <c r="A54" s="15">
        <f t="shared" si="0"/>
        <v>31</v>
      </c>
      <c r="B54" s="88" t="s">
        <v>41</v>
      </c>
      <c r="C54" s="37"/>
      <c r="D54" s="37"/>
      <c r="E54" s="37"/>
      <c r="F54" s="37"/>
      <c r="G54" s="37"/>
      <c r="H54" s="37"/>
      <c r="I54" s="37"/>
      <c r="J54" s="37"/>
      <c r="K54" s="34" t="s">
        <v>34</v>
      </c>
      <c r="L54" s="32"/>
      <c r="M54" s="81" t="s">
        <v>47</v>
      </c>
      <c r="N54" s="42" t="s">
        <v>42</v>
      </c>
      <c r="O54" s="36" t="s">
        <v>35</v>
      </c>
      <c r="P54" s="59" t="s">
        <v>43</v>
      </c>
      <c r="Q54" s="37"/>
      <c r="R54" s="37"/>
      <c r="S54" s="37"/>
      <c r="T54" s="37"/>
      <c r="U54" s="37"/>
      <c r="V54" s="38"/>
      <c r="W54" s="80" t="s">
        <v>44</v>
      </c>
      <c r="X54" s="32"/>
      <c r="Y54" s="48"/>
      <c r="Z54" s="32"/>
    </row>
    <row r="55" spans="1:26" ht="22.5" customHeight="1" x14ac:dyDescent="0.25">
      <c r="A55" s="15">
        <f t="shared" si="0"/>
        <v>32</v>
      </c>
      <c r="B55" s="49"/>
      <c r="C55" s="51"/>
      <c r="D55" s="51"/>
      <c r="E55" s="51"/>
      <c r="F55" s="51"/>
      <c r="G55" s="51"/>
      <c r="H55" s="51"/>
      <c r="I55" s="51"/>
      <c r="J55" s="51"/>
      <c r="K55" s="46" t="s">
        <v>37</v>
      </c>
      <c r="L55" s="32"/>
      <c r="M55" s="49"/>
      <c r="N55" s="43"/>
      <c r="O55" s="67"/>
      <c r="P55" s="49"/>
      <c r="Q55" s="51"/>
      <c r="R55" s="51"/>
      <c r="S55" s="51"/>
      <c r="T55" s="51"/>
      <c r="U55" s="51"/>
      <c r="V55" s="43"/>
      <c r="W55" s="46"/>
      <c r="X55" s="32"/>
      <c r="Y55" s="33"/>
      <c r="Z55" s="32"/>
    </row>
    <row r="56" spans="1:26" ht="22.5" customHeight="1" x14ac:dyDescent="0.25">
      <c r="A56" s="15">
        <f t="shared" si="0"/>
        <v>33</v>
      </c>
      <c r="B56" s="49"/>
      <c r="C56" s="51"/>
      <c r="D56" s="51"/>
      <c r="E56" s="51"/>
      <c r="F56" s="51"/>
      <c r="G56" s="51"/>
      <c r="H56" s="51"/>
      <c r="I56" s="51"/>
      <c r="J56" s="51"/>
      <c r="K56" s="46" t="s">
        <v>38</v>
      </c>
      <c r="L56" s="32"/>
      <c r="M56" s="49"/>
      <c r="N56" s="43"/>
      <c r="O56" s="67"/>
      <c r="P56" s="49"/>
      <c r="Q56" s="51"/>
      <c r="R56" s="51"/>
      <c r="S56" s="51"/>
      <c r="T56" s="51"/>
      <c r="U56" s="51"/>
      <c r="V56" s="43"/>
      <c r="W56" s="46"/>
      <c r="X56" s="32"/>
      <c r="Y56" s="33"/>
      <c r="Z56" s="32"/>
    </row>
    <row r="57" spans="1:26" ht="22.5" customHeight="1" x14ac:dyDescent="0.25">
      <c r="A57" s="15">
        <f t="shared" ref="A57:A88" si="1">A56+1</f>
        <v>34</v>
      </c>
      <c r="B57" s="39"/>
      <c r="C57" s="40"/>
      <c r="D57" s="40"/>
      <c r="E57" s="40"/>
      <c r="F57" s="40"/>
      <c r="G57" s="40"/>
      <c r="H57" s="40"/>
      <c r="I57" s="40"/>
      <c r="J57" s="40"/>
      <c r="K57" s="46" t="s">
        <v>39</v>
      </c>
      <c r="L57" s="32"/>
      <c r="M57" s="39"/>
      <c r="N57" s="41"/>
      <c r="O57" s="60"/>
      <c r="P57" s="39"/>
      <c r="Q57" s="40"/>
      <c r="R57" s="40"/>
      <c r="S57" s="40"/>
      <c r="T57" s="40"/>
      <c r="U57" s="40"/>
      <c r="V57" s="41"/>
      <c r="W57" s="46"/>
      <c r="X57" s="32"/>
      <c r="Y57" s="33"/>
      <c r="Z57" s="32"/>
    </row>
    <row r="58" spans="1:26" ht="22.5" customHeight="1" x14ac:dyDescent="0.25">
      <c r="A58" s="15">
        <f t="shared" si="1"/>
        <v>35</v>
      </c>
      <c r="B58" s="65" t="s">
        <v>48</v>
      </c>
      <c r="C58" s="38"/>
      <c r="D58" s="82" t="s">
        <v>49</v>
      </c>
      <c r="E58" s="31"/>
      <c r="F58" s="31"/>
      <c r="G58" s="31"/>
      <c r="H58" s="31"/>
      <c r="I58" s="31"/>
      <c r="J58" s="32"/>
      <c r="K58" s="65" t="s">
        <v>39</v>
      </c>
      <c r="L58" s="32"/>
      <c r="M58" s="17" t="s">
        <v>50</v>
      </c>
      <c r="N58" s="18" t="s">
        <v>51</v>
      </c>
      <c r="O58" s="19" t="s">
        <v>35</v>
      </c>
      <c r="P58" s="72"/>
      <c r="Q58" s="31"/>
      <c r="R58" s="31"/>
      <c r="S58" s="31"/>
      <c r="T58" s="31"/>
      <c r="U58" s="31"/>
      <c r="V58" s="32"/>
      <c r="W58" s="45"/>
      <c r="X58" s="31"/>
      <c r="Y58" s="70"/>
      <c r="Z58" s="32"/>
    </row>
    <row r="59" spans="1:26" ht="22.5" customHeight="1" x14ac:dyDescent="0.25">
      <c r="A59" s="15">
        <f t="shared" si="1"/>
        <v>36</v>
      </c>
      <c r="B59" s="49"/>
      <c r="C59" s="43"/>
      <c r="D59" s="82" t="s">
        <v>52</v>
      </c>
      <c r="E59" s="31"/>
      <c r="F59" s="31"/>
      <c r="G59" s="31"/>
      <c r="H59" s="31"/>
      <c r="I59" s="31"/>
      <c r="J59" s="32"/>
      <c r="K59" s="65" t="s">
        <v>39</v>
      </c>
      <c r="L59" s="32"/>
      <c r="M59" s="20" t="s">
        <v>50</v>
      </c>
      <c r="N59" s="18" t="s">
        <v>51</v>
      </c>
      <c r="O59" s="19" t="s">
        <v>35</v>
      </c>
      <c r="P59" s="72"/>
      <c r="Q59" s="31"/>
      <c r="R59" s="31"/>
      <c r="S59" s="31"/>
      <c r="T59" s="31"/>
      <c r="U59" s="31"/>
      <c r="V59" s="32"/>
      <c r="W59" s="45"/>
      <c r="X59" s="31"/>
      <c r="Y59" s="70"/>
      <c r="Z59" s="32"/>
    </row>
    <row r="60" spans="1:26" ht="22.5" customHeight="1" x14ac:dyDescent="0.25">
      <c r="A60" s="15">
        <f t="shared" si="1"/>
        <v>37</v>
      </c>
      <c r="B60" s="39"/>
      <c r="C60" s="41"/>
      <c r="D60" s="82" t="s">
        <v>53</v>
      </c>
      <c r="E60" s="31"/>
      <c r="F60" s="31"/>
      <c r="G60" s="31"/>
      <c r="H60" s="31"/>
      <c r="I60" s="31"/>
      <c r="J60" s="32"/>
      <c r="K60" s="65" t="s">
        <v>39</v>
      </c>
      <c r="L60" s="32"/>
      <c r="M60" s="20" t="s">
        <v>50</v>
      </c>
      <c r="N60" s="21" t="s">
        <v>42</v>
      </c>
      <c r="O60" s="19" t="s">
        <v>35</v>
      </c>
      <c r="P60" s="72"/>
      <c r="Q60" s="31"/>
      <c r="R60" s="31"/>
      <c r="S60" s="31"/>
      <c r="T60" s="31"/>
      <c r="U60" s="31"/>
      <c r="V60" s="32"/>
      <c r="W60" s="45"/>
      <c r="X60" s="31"/>
      <c r="Y60" s="70"/>
      <c r="Z60" s="32"/>
    </row>
    <row r="61" spans="1:26" ht="22.5" customHeight="1" x14ac:dyDescent="0.25">
      <c r="A61" s="15">
        <f t="shared" si="1"/>
        <v>38</v>
      </c>
      <c r="B61" s="50" t="s">
        <v>54</v>
      </c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2"/>
    </row>
    <row r="62" spans="1:26" ht="22.5" customHeight="1" x14ac:dyDescent="0.25">
      <c r="A62" s="15">
        <f t="shared" si="1"/>
        <v>39</v>
      </c>
      <c r="B62" s="82" t="s">
        <v>55</v>
      </c>
      <c r="C62" s="31"/>
      <c r="D62" s="31"/>
      <c r="E62" s="31"/>
      <c r="F62" s="31"/>
      <c r="G62" s="31"/>
      <c r="H62" s="31"/>
      <c r="I62" s="31"/>
      <c r="J62" s="31"/>
      <c r="K62" s="31"/>
      <c r="L62" s="32"/>
      <c r="M62" s="22"/>
      <c r="N62" s="23" t="s">
        <v>56</v>
      </c>
      <c r="O62" s="19" t="s">
        <v>35</v>
      </c>
      <c r="P62" s="84">
        <f>MAX((M62*0.02),(1*0.01))</f>
        <v>0.01</v>
      </c>
      <c r="Q62" s="31"/>
      <c r="R62" s="31"/>
      <c r="S62" s="31"/>
      <c r="T62" s="31"/>
      <c r="U62" s="31"/>
      <c r="V62" s="32"/>
      <c r="W62" s="45"/>
      <c r="X62" s="31"/>
      <c r="Y62" s="70"/>
      <c r="Z62" s="32"/>
    </row>
    <row r="63" spans="1:26" ht="22.5" customHeight="1" x14ac:dyDescent="0.25">
      <c r="A63" s="15">
        <f t="shared" si="1"/>
        <v>40</v>
      </c>
      <c r="B63" s="82" t="s">
        <v>57</v>
      </c>
      <c r="C63" s="31"/>
      <c r="D63" s="31"/>
      <c r="E63" s="31"/>
      <c r="F63" s="31"/>
      <c r="G63" s="31"/>
      <c r="H63" s="31"/>
      <c r="I63" s="31"/>
      <c r="J63" s="31"/>
      <c r="K63" s="31"/>
      <c r="L63" s="32"/>
      <c r="M63" s="22"/>
      <c r="N63" s="23" t="s">
        <v>56</v>
      </c>
      <c r="O63" s="19" t="s">
        <v>35</v>
      </c>
      <c r="P63" s="84">
        <f>MAX((M63*0.02),(1*0.01))</f>
        <v>0.01</v>
      </c>
      <c r="Q63" s="31"/>
      <c r="R63" s="31"/>
      <c r="S63" s="31"/>
      <c r="T63" s="31"/>
      <c r="U63" s="31"/>
      <c r="V63" s="32"/>
      <c r="W63" s="45"/>
      <c r="X63" s="31"/>
      <c r="Y63" s="70"/>
      <c r="Z63" s="32"/>
    </row>
    <row r="64" spans="1:26" ht="22.5" customHeight="1" x14ac:dyDescent="0.25">
      <c r="A64" s="15">
        <f t="shared" si="1"/>
        <v>41</v>
      </c>
      <c r="B64" s="82" t="s">
        <v>58</v>
      </c>
      <c r="C64" s="31"/>
      <c r="D64" s="31"/>
      <c r="E64" s="31"/>
      <c r="F64" s="31"/>
      <c r="G64" s="31"/>
      <c r="H64" s="31"/>
      <c r="I64" s="31"/>
      <c r="J64" s="31"/>
      <c r="K64" s="31"/>
      <c r="L64" s="32"/>
      <c r="M64" s="22"/>
      <c r="N64" s="23" t="s">
        <v>59</v>
      </c>
      <c r="O64" s="19" t="s">
        <v>35</v>
      </c>
      <c r="P64" s="84">
        <f>MAX(10,M64*0.01)</f>
        <v>10</v>
      </c>
      <c r="Q64" s="31"/>
      <c r="R64" s="31"/>
      <c r="S64" s="31"/>
      <c r="T64" s="31"/>
      <c r="U64" s="31"/>
      <c r="V64" s="32"/>
      <c r="W64" s="45"/>
      <c r="X64" s="31"/>
      <c r="Y64" s="70"/>
      <c r="Z64" s="32"/>
    </row>
    <row r="65" spans="1:26" ht="22.5" customHeight="1" x14ac:dyDescent="0.25">
      <c r="A65" s="15">
        <f t="shared" si="1"/>
        <v>42</v>
      </c>
      <c r="B65" s="50" t="s">
        <v>60</v>
      </c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2"/>
    </row>
    <row r="66" spans="1:26" ht="22.5" customHeight="1" x14ac:dyDescent="0.25">
      <c r="A66" s="15">
        <f t="shared" si="1"/>
        <v>43</v>
      </c>
      <c r="B66" s="47" t="s">
        <v>61</v>
      </c>
      <c r="C66" s="31"/>
      <c r="D66" s="31"/>
      <c r="E66" s="31"/>
      <c r="F66" s="31"/>
      <c r="G66" s="31"/>
      <c r="H66" s="31"/>
      <c r="I66" s="31"/>
      <c r="J66" s="31"/>
      <c r="K66" s="31"/>
      <c r="L66" s="32"/>
      <c r="M66" s="50" t="s">
        <v>62</v>
      </c>
      <c r="N66" s="31"/>
      <c r="O66" s="31"/>
      <c r="P66" s="31"/>
      <c r="Q66" s="31"/>
      <c r="R66" s="31"/>
      <c r="S66" s="31"/>
      <c r="T66" s="31"/>
      <c r="U66" s="31"/>
      <c r="V66" s="32"/>
      <c r="W66" s="48"/>
      <c r="X66" s="32"/>
      <c r="Y66" s="48"/>
      <c r="Z66" s="32"/>
    </row>
    <row r="67" spans="1:26" ht="22.5" customHeight="1" x14ac:dyDescent="0.25">
      <c r="A67" s="15">
        <f t="shared" si="1"/>
        <v>44</v>
      </c>
      <c r="B67" s="47" t="s">
        <v>63</v>
      </c>
      <c r="C67" s="31"/>
      <c r="D67" s="31"/>
      <c r="E67" s="31"/>
      <c r="F67" s="31"/>
      <c r="G67" s="31"/>
      <c r="H67" s="31"/>
      <c r="I67" s="31"/>
      <c r="J67" s="31"/>
      <c r="K67" s="31"/>
      <c r="L67" s="32"/>
      <c r="M67" s="50" t="s">
        <v>62</v>
      </c>
      <c r="N67" s="31"/>
      <c r="O67" s="31"/>
      <c r="P67" s="31"/>
      <c r="Q67" s="31"/>
      <c r="R67" s="31"/>
      <c r="S67" s="31"/>
      <c r="T67" s="31"/>
      <c r="U67" s="31"/>
      <c r="V67" s="32"/>
      <c r="W67" s="48"/>
      <c r="X67" s="32"/>
      <c r="Y67" s="48"/>
      <c r="Z67" s="32"/>
    </row>
    <row r="68" spans="1:26" ht="22.5" customHeight="1" x14ac:dyDescent="0.25">
      <c r="A68" s="15">
        <f t="shared" si="1"/>
        <v>45</v>
      </c>
      <c r="B68" s="63" t="s">
        <v>64</v>
      </c>
      <c r="C68" s="31"/>
      <c r="D68" s="31"/>
      <c r="E68" s="31"/>
      <c r="F68" s="31"/>
      <c r="G68" s="31"/>
      <c r="H68" s="31"/>
      <c r="I68" s="31"/>
      <c r="J68" s="31"/>
      <c r="K68" s="31"/>
      <c r="L68" s="32"/>
      <c r="M68" s="87"/>
      <c r="N68" s="31"/>
      <c r="O68" s="31"/>
      <c r="P68" s="31"/>
      <c r="Q68" s="31"/>
      <c r="R68" s="31"/>
      <c r="S68" s="31"/>
      <c r="T68" s="31"/>
      <c r="U68" s="31"/>
      <c r="V68" s="32"/>
      <c r="W68" s="57"/>
      <c r="X68" s="32"/>
      <c r="Y68" s="57"/>
      <c r="Z68" s="32"/>
    </row>
    <row r="69" spans="1:26" ht="22.5" customHeight="1" x14ac:dyDescent="0.25">
      <c r="A69" s="15">
        <f t="shared" si="1"/>
        <v>46</v>
      </c>
      <c r="B69" s="53" t="s">
        <v>26</v>
      </c>
      <c r="C69" s="37"/>
      <c r="D69" s="37"/>
      <c r="E69" s="37"/>
      <c r="F69" s="37"/>
      <c r="G69" s="37"/>
      <c r="H69" s="37"/>
      <c r="I69" s="37"/>
      <c r="J69" s="37"/>
      <c r="K69" s="37"/>
      <c r="L69" s="38"/>
      <c r="M69" s="85" t="s">
        <v>27</v>
      </c>
      <c r="N69" s="37"/>
      <c r="O69" s="37"/>
      <c r="P69" s="37"/>
      <c r="Q69" s="37"/>
      <c r="R69" s="37"/>
      <c r="S69" s="37"/>
      <c r="T69" s="37"/>
      <c r="U69" s="37"/>
      <c r="V69" s="38"/>
      <c r="W69" s="44"/>
      <c r="X69" s="38"/>
      <c r="Y69" s="44"/>
      <c r="Z69" s="38"/>
    </row>
    <row r="70" spans="1:26" ht="22.5" customHeight="1" x14ac:dyDescent="0.25">
      <c r="A70" s="15">
        <f t="shared" si="1"/>
        <v>47</v>
      </c>
      <c r="B70" s="64"/>
      <c r="C70" s="51"/>
      <c r="D70" s="51"/>
      <c r="E70" s="51"/>
      <c r="F70" s="51"/>
      <c r="G70" s="51"/>
      <c r="H70" s="51"/>
      <c r="I70" s="51"/>
      <c r="J70" s="51"/>
      <c r="K70" s="51"/>
      <c r="L70" s="43"/>
      <c r="M70" s="49"/>
      <c r="N70" s="51"/>
      <c r="O70" s="51"/>
      <c r="P70" s="51"/>
      <c r="Q70" s="51"/>
      <c r="R70" s="51"/>
      <c r="S70" s="51"/>
      <c r="T70" s="51"/>
      <c r="U70" s="51"/>
      <c r="V70" s="43"/>
      <c r="W70" s="49"/>
      <c r="X70" s="43"/>
      <c r="Y70" s="49"/>
      <c r="Z70" s="43"/>
    </row>
    <row r="71" spans="1:26" ht="22.5" customHeight="1" x14ac:dyDescent="0.25">
      <c r="A71" s="15">
        <f t="shared" si="1"/>
        <v>48</v>
      </c>
      <c r="B71" s="49"/>
      <c r="C71" s="51"/>
      <c r="D71" s="51"/>
      <c r="E71" s="51"/>
      <c r="F71" s="51"/>
      <c r="G71" s="51"/>
      <c r="H71" s="51"/>
      <c r="I71" s="51"/>
      <c r="J71" s="51"/>
      <c r="K71" s="51"/>
      <c r="L71" s="43"/>
      <c r="M71" s="49"/>
      <c r="N71" s="51"/>
      <c r="O71" s="51"/>
      <c r="P71" s="51"/>
      <c r="Q71" s="51"/>
      <c r="R71" s="51"/>
      <c r="S71" s="51"/>
      <c r="T71" s="51"/>
      <c r="U71" s="51"/>
      <c r="V71" s="43"/>
      <c r="W71" s="49"/>
      <c r="X71" s="43"/>
      <c r="Y71" s="49"/>
      <c r="Z71" s="43"/>
    </row>
    <row r="72" spans="1:26" ht="22.5" customHeight="1" x14ac:dyDescent="0.25">
      <c r="A72" s="15">
        <f t="shared" si="1"/>
        <v>49</v>
      </c>
      <c r="B72" s="49"/>
      <c r="C72" s="51"/>
      <c r="D72" s="51"/>
      <c r="E72" s="51"/>
      <c r="F72" s="51"/>
      <c r="G72" s="51"/>
      <c r="H72" s="51"/>
      <c r="I72" s="51"/>
      <c r="J72" s="51"/>
      <c r="K72" s="51"/>
      <c r="L72" s="43"/>
      <c r="M72" s="49"/>
      <c r="N72" s="51"/>
      <c r="O72" s="51"/>
      <c r="P72" s="51"/>
      <c r="Q72" s="51"/>
      <c r="R72" s="51"/>
      <c r="S72" s="51"/>
      <c r="T72" s="51"/>
      <c r="U72" s="51"/>
      <c r="V72" s="43"/>
      <c r="W72" s="49"/>
      <c r="X72" s="43"/>
      <c r="Y72" s="49"/>
      <c r="Z72" s="43"/>
    </row>
    <row r="73" spans="1:26" ht="22.5" customHeight="1" x14ac:dyDescent="0.25">
      <c r="A73" s="15">
        <f t="shared" si="1"/>
        <v>50</v>
      </c>
      <c r="B73" s="39"/>
      <c r="C73" s="40"/>
      <c r="D73" s="40"/>
      <c r="E73" s="40"/>
      <c r="F73" s="40"/>
      <c r="G73" s="40"/>
      <c r="H73" s="40"/>
      <c r="I73" s="40"/>
      <c r="J73" s="40"/>
      <c r="K73" s="40"/>
      <c r="L73" s="41"/>
      <c r="M73" s="49"/>
      <c r="N73" s="51"/>
      <c r="O73" s="51"/>
      <c r="P73" s="51"/>
      <c r="Q73" s="51"/>
      <c r="R73" s="51"/>
      <c r="S73" s="51"/>
      <c r="T73" s="51"/>
      <c r="U73" s="51"/>
      <c r="V73" s="43"/>
      <c r="W73" s="39"/>
      <c r="X73" s="41"/>
      <c r="Y73" s="39"/>
      <c r="Z73" s="41"/>
    </row>
    <row r="74" spans="1:26" ht="22.5" customHeight="1" x14ac:dyDescent="0.25">
      <c r="A74" s="15">
        <f t="shared" si="1"/>
        <v>51</v>
      </c>
      <c r="B74" s="50" t="s">
        <v>65</v>
      </c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2"/>
    </row>
    <row r="75" spans="1:26" ht="22.5" customHeight="1" x14ac:dyDescent="0.25">
      <c r="A75" s="15">
        <f t="shared" si="1"/>
        <v>52</v>
      </c>
      <c r="B75" s="47" t="s">
        <v>66</v>
      </c>
      <c r="C75" s="31"/>
      <c r="D75" s="31"/>
      <c r="E75" s="31"/>
      <c r="F75" s="31"/>
      <c r="G75" s="31"/>
      <c r="H75" s="31"/>
      <c r="I75" s="31"/>
      <c r="J75" s="31"/>
      <c r="K75" s="31"/>
      <c r="L75" s="32"/>
      <c r="M75" s="36" t="s">
        <v>67</v>
      </c>
      <c r="N75" s="31"/>
      <c r="O75" s="31"/>
      <c r="P75" s="31"/>
      <c r="Q75" s="31"/>
      <c r="R75" s="31"/>
      <c r="S75" s="31"/>
      <c r="T75" s="31"/>
      <c r="U75" s="31"/>
      <c r="V75" s="32"/>
      <c r="W75" s="44"/>
      <c r="X75" s="32"/>
      <c r="Y75" s="48"/>
      <c r="Z75" s="32"/>
    </row>
    <row r="76" spans="1:26" ht="22.5" customHeight="1" x14ac:dyDescent="0.25">
      <c r="A76" s="15">
        <f t="shared" si="1"/>
        <v>53</v>
      </c>
      <c r="B76" s="47" t="s">
        <v>68</v>
      </c>
      <c r="C76" s="31"/>
      <c r="D76" s="31"/>
      <c r="E76" s="31"/>
      <c r="F76" s="31"/>
      <c r="G76" s="31"/>
      <c r="H76" s="31"/>
      <c r="I76" s="31"/>
      <c r="J76" s="31"/>
      <c r="K76" s="31"/>
      <c r="L76" s="32"/>
      <c r="M76" s="36" t="s">
        <v>67</v>
      </c>
      <c r="N76" s="31"/>
      <c r="O76" s="31"/>
      <c r="P76" s="31"/>
      <c r="Q76" s="31"/>
      <c r="R76" s="31"/>
      <c r="S76" s="31"/>
      <c r="T76" s="31"/>
      <c r="U76" s="31"/>
      <c r="V76" s="32"/>
      <c r="W76" s="44"/>
      <c r="X76" s="32"/>
      <c r="Y76" s="48"/>
      <c r="Z76" s="32"/>
    </row>
    <row r="77" spans="1:26" ht="22.5" customHeight="1" x14ac:dyDescent="0.25">
      <c r="A77" s="15">
        <f t="shared" si="1"/>
        <v>54</v>
      </c>
      <c r="B77" s="47" t="s">
        <v>69</v>
      </c>
      <c r="C77" s="31"/>
      <c r="D77" s="31"/>
      <c r="E77" s="31"/>
      <c r="F77" s="31"/>
      <c r="G77" s="31"/>
      <c r="H77" s="31"/>
      <c r="I77" s="31"/>
      <c r="J77" s="31"/>
      <c r="K77" s="31"/>
      <c r="L77" s="32"/>
      <c r="M77" s="36" t="s">
        <v>67</v>
      </c>
      <c r="N77" s="31"/>
      <c r="O77" s="31"/>
      <c r="P77" s="31"/>
      <c r="Q77" s="31"/>
      <c r="R77" s="31"/>
      <c r="S77" s="31"/>
      <c r="T77" s="31"/>
      <c r="U77" s="31"/>
      <c r="V77" s="32"/>
      <c r="W77" s="44"/>
      <c r="X77" s="32"/>
      <c r="Y77" s="48"/>
      <c r="Z77" s="32"/>
    </row>
    <row r="78" spans="1:26" ht="22.5" customHeight="1" x14ac:dyDescent="0.25">
      <c r="A78" s="15">
        <f t="shared" si="1"/>
        <v>55</v>
      </c>
      <c r="B78" s="47" t="s">
        <v>70</v>
      </c>
      <c r="C78" s="31"/>
      <c r="D78" s="31"/>
      <c r="E78" s="31"/>
      <c r="F78" s="31"/>
      <c r="G78" s="31"/>
      <c r="H78" s="31"/>
      <c r="I78" s="31"/>
      <c r="J78" s="31"/>
      <c r="K78" s="31"/>
      <c r="L78" s="32"/>
      <c r="M78" s="36" t="s">
        <v>67</v>
      </c>
      <c r="N78" s="31"/>
      <c r="O78" s="31"/>
      <c r="P78" s="31"/>
      <c r="Q78" s="31"/>
      <c r="R78" s="31"/>
      <c r="S78" s="31"/>
      <c r="T78" s="31"/>
      <c r="U78" s="31"/>
      <c r="V78" s="32"/>
      <c r="W78" s="44"/>
      <c r="X78" s="32"/>
      <c r="Y78" s="48"/>
      <c r="Z78" s="32"/>
    </row>
    <row r="79" spans="1:26" ht="22.5" customHeight="1" x14ac:dyDescent="0.25">
      <c r="A79" s="15">
        <f t="shared" si="1"/>
        <v>56</v>
      </c>
      <c r="B79" s="47" t="s">
        <v>71</v>
      </c>
      <c r="C79" s="31"/>
      <c r="D79" s="31"/>
      <c r="E79" s="31"/>
      <c r="F79" s="31"/>
      <c r="G79" s="31"/>
      <c r="H79" s="31"/>
      <c r="I79" s="31"/>
      <c r="J79" s="31"/>
      <c r="K79" s="31"/>
      <c r="L79" s="32"/>
      <c r="M79" s="36" t="s">
        <v>67</v>
      </c>
      <c r="N79" s="31"/>
      <c r="O79" s="31"/>
      <c r="P79" s="31"/>
      <c r="Q79" s="31"/>
      <c r="R79" s="31"/>
      <c r="S79" s="31"/>
      <c r="T79" s="31"/>
      <c r="U79" s="31"/>
      <c r="V79" s="32"/>
      <c r="W79" s="44"/>
      <c r="X79" s="32"/>
      <c r="Y79" s="48"/>
      <c r="Z79" s="32"/>
    </row>
    <row r="80" spans="1:26" ht="22.5" customHeight="1" x14ac:dyDescent="0.25">
      <c r="A80" s="15">
        <f t="shared" si="1"/>
        <v>57</v>
      </c>
      <c r="B80" s="47" t="s">
        <v>72</v>
      </c>
      <c r="C80" s="31"/>
      <c r="D80" s="31"/>
      <c r="E80" s="31"/>
      <c r="F80" s="31"/>
      <c r="G80" s="31"/>
      <c r="H80" s="31"/>
      <c r="I80" s="31"/>
      <c r="J80" s="31"/>
      <c r="K80" s="31"/>
      <c r="L80" s="32"/>
      <c r="M80" s="36" t="s">
        <v>67</v>
      </c>
      <c r="N80" s="31"/>
      <c r="O80" s="31"/>
      <c r="P80" s="31"/>
      <c r="Q80" s="31"/>
      <c r="R80" s="31"/>
      <c r="S80" s="31"/>
      <c r="T80" s="31"/>
      <c r="U80" s="31"/>
      <c r="V80" s="32"/>
      <c r="W80" s="44"/>
      <c r="X80" s="32"/>
      <c r="Y80" s="48"/>
      <c r="Z80" s="32"/>
    </row>
    <row r="81" spans="1:26" ht="22.5" customHeight="1" x14ac:dyDescent="0.25">
      <c r="A81" s="15">
        <f t="shared" si="1"/>
        <v>58</v>
      </c>
      <c r="B81" s="50" t="s">
        <v>73</v>
      </c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2"/>
    </row>
    <row r="82" spans="1:26" ht="22.5" customHeight="1" x14ac:dyDescent="0.25">
      <c r="A82" s="15">
        <f t="shared" si="1"/>
        <v>59</v>
      </c>
      <c r="B82" s="47" t="s">
        <v>74</v>
      </c>
      <c r="C82" s="31"/>
      <c r="D82" s="31"/>
      <c r="E82" s="31"/>
      <c r="F82" s="31"/>
      <c r="G82" s="31"/>
      <c r="H82" s="31"/>
      <c r="I82" s="31"/>
      <c r="J82" s="31"/>
      <c r="K82" s="31"/>
      <c r="L82" s="32"/>
      <c r="M82" s="36" t="s">
        <v>75</v>
      </c>
      <c r="N82" s="37"/>
      <c r="O82" s="37"/>
      <c r="P82" s="37"/>
      <c r="Q82" s="37"/>
      <c r="R82" s="37"/>
      <c r="S82" s="37"/>
      <c r="T82" s="37"/>
      <c r="U82" s="37"/>
      <c r="V82" s="38"/>
      <c r="W82" s="44"/>
      <c r="X82" s="38"/>
      <c r="Y82" s="44"/>
      <c r="Z82" s="38"/>
    </row>
    <row r="83" spans="1:26" ht="22.5" customHeight="1" x14ac:dyDescent="0.25">
      <c r="A83" s="15">
        <f t="shared" si="1"/>
        <v>60</v>
      </c>
      <c r="B83" s="47" t="s">
        <v>76</v>
      </c>
      <c r="C83" s="31"/>
      <c r="D83" s="31"/>
      <c r="E83" s="31"/>
      <c r="F83" s="31"/>
      <c r="G83" s="31"/>
      <c r="H83" s="31"/>
      <c r="I83" s="31"/>
      <c r="J83" s="31"/>
      <c r="K83" s="31"/>
      <c r="L83" s="32"/>
      <c r="M83" s="39"/>
      <c r="N83" s="40"/>
      <c r="O83" s="40"/>
      <c r="P83" s="40"/>
      <c r="Q83" s="40"/>
      <c r="R83" s="40"/>
      <c r="S83" s="40"/>
      <c r="T83" s="40"/>
      <c r="U83" s="40"/>
      <c r="V83" s="41"/>
      <c r="W83" s="39"/>
      <c r="X83" s="41"/>
      <c r="Y83" s="39"/>
      <c r="Z83" s="41"/>
    </row>
    <row r="84" spans="1:26" ht="22.5" customHeight="1" x14ac:dyDescent="0.25">
      <c r="A84" s="15">
        <f t="shared" si="1"/>
        <v>61</v>
      </c>
      <c r="B84" s="47" t="s">
        <v>74</v>
      </c>
      <c r="C84" s="31"/>
      <c r="D84" s="31"/>
      <c r="E84" s="31"/>
      <c r="F84" s="31"/>
      <c r="G84" s="31"/>
      <c r="H84" s="31"/>
      <c r="I84" s="31"/>
      <c r="J84" s="31"/>
      <c r="K84" s="31"/>
      <c r="L84" s="32"/>
      <c r="M84" s="36" t="s">
        <v>77</v>
      </c>
      <c r="N84" s="37"/>
      <c r="O84" s="37"/>
      <c r="P84" s="37"/>
      <c r="Q84" s="37"/>
      <c r="R84" s="37"/>
      <c r="S84" s="37"/>
      <c r="T84" s="37"/>
      <c r="U84" s="37"/>
      <c r="V84" s="38"/>
      <c r="W84" s="44"/>
      <c r="X84" s="38"/>
      <c r="Y84" s="44"/>
      <c r="Z84" s="38"/>
    </row>
    <row r="85" spans="1:26" ht="22.5" customHeight="1" x14ac:dyDescent="0.25">
      <c r="A85" s="15">
        <f t="shared" si="1"/>
        <v>62</v>
      </c>
      <c r="B85" s="47" t="s">
        <v>76</v>
      </c>
      <c r="C85" s="31"/>
      <c r="D85" s="31"/>
      <c r="E85" s="31"/>
      <c r="F85" s="31"/>
      <c r="G85" s="31"/>
      <c r="H85" s="31"/>
      <c r="I85" s="31"/>
      <c r="J85" s="31"/>
      <c r="K85" s="31"/>
      <c r="L85" s="32"/>
      <c r="M85" s="39"/>
      <c r="N85" s="40"/>
      <c r="O85" s="40"/>
      <c r="P85" s="40"/>
      <c r="Q85" s="40"/>
      <c r="R85" s="40"/>
      <c r="S85" s="40"/>
      <c r="T85" s="40"/>
      <c r="U85" s="40"/>
      <c r="V85" s="41"/>
      <c r="W85" s="39"/>
      <c r="X85" s="41"/>
      <c r="Y85" s="39"/>
      <c r="Z85" s="41"/>
    </row>
    <row r="86" spans="1:26" ht="22.5" customHeight="1" x14ac:dyDescent="0.25">
      <c r="A86" s="15">
        <f t="shared" si="1"/>
        <v>63</v>
      </c>
      <c r="B86" s="47" t="s">
        <v>78</v>
      </c>
      <c r="C86" s="31"/>
      <c r="D86" s="31"/>
      <c r="E86" s="31"/>
      <c r="F86" s="31"/>
      <c r="G86" s="31"/>
      <c r="H86" s="31"/>
      <c r="I86" s="31"/>
      <c r="J86" s="31"/>
      <c r="K86" s="31"/>
      <c r="L86" s="32"/>
      <c r="M86" s="36" t="s">
        <v>79</v>
      </c>
      <c r="N86" s="37"/>
      <c r="O86" s="37"/>
      <c r="P86" s="37"/>
      <c r="Q86" s="37"/>
      <c r="R86" s="37"/>
      <c r="S86" s="37"/>
      <c r="T86" s="37"/>
      <c r="U86" s="37"/>
      <c r="V86" s="38"/>
      <c r="W86" s="44"/>
      <c r="X86" s="38"/>
      <c r="Y86" s="44"/>
      <c r="Z86" s="38"/>
    </row>
    <row r="87" spans="1:26" ht="22.5" customHeight="1" x14ac:dyDescent="0.25">
      <c r="A87" s="15">
        <f t="shared" si="1"/>
        <v>64</v>
      </c>
      <c r="B87" s="47" t="s">
        <v>80</v>
      </c>
      <c r="C87" s="31"/>
      <c r="D87" s="31"/>
      <c r="E87" s="31"/>
      <c r="F87" s="31"/>
      <c r="G87" s="31"/>
      <c r="H87" s="31"/>
      <c r="I87" s="31"/>
      <c r="J87" s="31"/>
      <c r="K87" s="31"/>
      <c r="L87" s="32"/>
      <c r="M87" s="39"/>
      <c r="N87" s="40"/>
      <c r="O87" s="40"/>
      <c r="P87" s="40"/>
      <c r="Q87" s="40"/>
      <c r="R87" s="40"/>
      <c r="S87" s="40"/>
      <c r="T87" s="40"/>
      <c r="U87" s="40"/>
      <c r="V87" s="41"/>
      <c r="W87" s="39"/>
      <c r="X87" s="41"/>
      <c r="Y87" s="39"/>
      <c r="Z87" s="41"/>
    </row>
    <row r="88" spans="1:26" ht="22.5" customHeight="1" x14ac:dyDescent="0.25">
      <c r="A88" s="15">
        <f t="shared" si="1"/>
        <v>65</v>
      </c>
      <c r="B88" s="47" t="s">
        <v>78</v>
      </c>
      <c r="C88" s="31"/>
      <c r="D88" s="31"/>
      <c r="E88" s="31"/>
      <c r="F88" s="31"/>
      <c r="G88" s="31"/>
      <c r="H88" s="31"/>
      <c r="I88" s="31"/>
      <c r="J88" s="31"/>
      <c r="K88" s="31"/>
      <c r="L88" s="32"/>
      <c r="M88" s="36" t="s">
        <v>81</v>
      </c>
      <c r="N88" s="37"/>
      <c r="O88" s="37"/>
      <c r="P88" s="37"/>
      <c r="Q88" s="37"/>
      <c r="R88" s="37"/>
      <c r="S88" s="37"/>
      <c r="T88" s="37"/>
      <c r="U88" s="37"/>
      <c r="V88" s="38"/>
      <c r="W88" s="44"/>
      <c r="X88" s="38"/>
      <c r="Y88" s="44"/>
      <c r="Z88" s="38"/>
    </row>
    <row r="89" spans="1:26" ht="22.5" customHeight="1" x14ac:dyDescent="0.25">
      <c r="A89" s="15">
        <f t="shared" ref="A89:A120" si="2">A88+1</f>
        <v>66</v>
      </c>
      <c r="B89" s="47" t="s">
        <v>80</v>
      </c>
      <c r="C89" s="31"/>
      <c r="D89" s="31"/>
      <c r="E89" s="31"/>
      <c r="F89" s="31"/>
      <c r="G89" s="31"/>
      <c r="H89" s="31"/>
      <c r="I89" s="31"/>
      <c r="J89" s="31"/>
      <c r="K89" s="31"/>
      <c r="L89" s="32"/>
      <c r="M89" s="39"/>
      <c r="N89" s="40"/>
      <c r="O89" s="40"/>
      <c r="P89" s="40"/>
      <c r="Q89" s="40"/>
      <c r="R89" s="40"/>
      <c r="S89" s="40"/>
      <c r="T89" s="40"/>
      <c r="U89" s="40"/>
      <c r="V89" s="41"/>
      <c r="W89" s="39"/>
      <c r="X89" s="41"/>
      <c r="Y89" s="39"/>
      <c r="Z89" s="41"/>
    </row>
    <row r="90" spans="1:26" ht="22.5" customHeight="1" x14ac:dyDescent="0.25">
      <c r="A90" s="15">
        <f t="shared" si="2"/>
        <v>67</v>
      </c>
      <c r="B90" s="47" t="s">
        <v>82</v>
      </c>
      <c r="C90" s="31"/>
      <c r="D90" s="31"/>
      <c r="E90" s="31"/>
      <c r="F90" s="31"/>
      <c r="G90" s="31"/>
      <c r="H90" s="31"/>
      <c r="I90" s="31"/>
      <c r="J90" s="31"/>
      <c r="K90" s="31"/>
      <c r="L90" s="32"/>
      <c r="M90" s="36" t="s">
        <v>83</v>
      </c>
      <c r="N90" s="37"/>
      <c r="O90" s="37"/>
      <c r="P90" s="37"/>
      <c r="Q90" s="37"/>
      <c r="R90" s="37"/>
      <c r="S90" s="37"/>
      <c r="T90" s="37"/>
      <c r="U90" s="37"/>
      <c r="V90" s="38"/>
      <c r="W90" s="44"/>
      <c r="X90" s="38"/>
      <c r="Y90" s="44"/>
      <c r="Z90" s="38"/>
    </row>
    <row r="91" spans="1:26" ht="22.5" customHeight="1" x14ac:dyDescent="0.25">
      <c r="A91" s="15">
        <f t="shared" si="2"/>
        <v>68</v>
      </c>
      <c r="B91" s="47" t="s">
        <v>84</v>
      </c>
      <c r="C91" s="31"/>
      <c r="D91" s="31"/>
      <c r="E91" s="31"/>
      <c r="F91" s="31"/>
      <c r="G91" s="31"/>
      <c r="H91" s="31"/>
      <c r="I91" s="31"/>
      <c r="J91" s="31"/>
      <c r="K91" s="31"/>
      <c r="L91" s="32"/>
      <c r="M91" s="39"/>
      <c r="N91" s="40"/>
      <c r="O91" s="40"/>
      <c r="P91" s="40"/>
      <c r="Q91" s="40"/>
      <c r="R91" s="40"/>
      <c r="S91" s="40"/>
      <c r="T91" s="40"/>
      <c r="U91" s="40"/>
      <c r="V91" s="41"/>
      <c r="W91" s="39"/>
      <c r="X91" s="41"/>
      <c r="Y91" s="39"/>
      <c r="Z91" s="41"/>
    </row>
    <row r="92" spans="1:26" ht="22.5" customHeight="1" x14ac:dyDescent="0.25">
      <c r="A92" s="15">
        <f t="shared" si="2"/>
        <v>69</v>
      </c>
      <c r="B92" s="47" t="s">
        <v>82</v>
      </c>
      <c r="C92" s="31"/>
      <c r="D92" s="31"/>
      <c r="E92" s="31"/>
      <c r="F92" s="31"/>
      <c r="G92" s="31"/>
      <c r="H92" s="31"/>
      <c r="I92" s="31"/>
      <c r="J92" s="31"/>
      <c r="K92" s="31"/>
      <c r="L92" s="32"/>
      <c r="M92" s="36" t="s">
        <v>85</v>
      </c>
      <c r="N92" s="37"/>
      <c r="O92" s="37"/>
      <c r="P92" s="37"/>
      <c r="Q92" s="37"/>
      <c r="R92" s="37"/>
      <c r="S92" s="37"/>
      <c r="T92" s="37"/>
      <c r="U92" s="37"/>
      <c r="V92" s="38"/>
      <c r="W92" s="44"/>
      <c r="X92" s="38"/>
      <c r="Y92" s="44"/>
      <c r="Z92" s="38"/>
    </row>
    <row r="93" spans="1:26" ht="22.5" customHeight="1" x14ac:dyDescent="0.25">
      <c r="A93" s="15">
        <f t="shared" si="2"/>
        <v>70</v>
      </c>
      <c r="B93" s="47" t="s">
        <v>84</v>
      </c>
      <c r="C93" s="31"/>
      <c r="D93" s="31"/>
      <c r="E93" s="31"/>
      <c r="F93" s="31"/>
      <c r="G93" s="31"/>
      <c r="H93" s="31"/>
      <c r="I93" s="31"/>
      <c r="J93" s="31"/>
      <c r="K93" s="31"/>
      <c r="L93" s="32"/>
      <c r="M93" s="39"/>
      <c r="N93" s="40"/>
      <c r="O93" s="40"/>
      <c r="P93" s="40"/>
      <c r="Q93" s="40"/>
      <c r="R93" s="40"/>
      <c r="S93" s="40"/>
      <c r="T93" s="40"/>
      <c r="U93" s="40"/>
      <c r="V93" s="41"/>
      <c r="W93" s="39"/>
      <c r="X93" s="41"/>
      <c r="Y93" s="39"/>
      <c r="Z93" s="41"/>
    </row>
    <row r="94" spans="1:26" ht="22.5" customHeight="1" x14ac:dyDescent="0.25">
      <c r="A94" s="15">
        <f t="shared" si="2"/>
        <v>71</v>
      </c>
      <c r="B94" s="47" t="s">
        <v>86</v>
      </c>
      <c r="C94" s="31"/>
      <c r="D94" s="31"/>
      <c r="E94" s="31"/>
      <c r="F94" s="31"/>
      <c r="G94" s="31"/>
      <c r="H94" s="31"/>
      <c r="I94" s="31"/>
      <c r="J94" s="31"/>
      <c r="K94" s="31"/>
      <c r="L94" s="32"/>
      <c r="M94" s="36" t="s">
        <v>87</v>
      </c>
      <c r="N94" s="37"/>
      <c r="O94" s="37"/>
      <c r="P94" s="37"/>
      <c r="Q94" s="37"/>
      <c r="R94" s="37"/>
      <c r="S94" s="37"/>
      <c r="T94" s="37"/>
      <c r="U94" s="37"/>
      <c r="V94" s="38"/>
      <c r="W94" s="44"/>
      <c r="X94" s="38"/>
      <c r="Y94" s="44"/>
      <c r="Z94" s="38"/>
    </row>
    <row r="95" spans="1:26" ht="22.5" customHeight="1" x14ac:dyDescent="0.25">
      <c r="A95" s="15">
        <f t="shared" si="2"/>
        <v>72</v>
      </c>
      <c r="B95" s="47" t="s">
        <v>88</v>
      </c>
      <c r="C95" s="31"/>
      <c r="D95" s="31"/>
      <c r="E95" s="31"/>
      <c r="F95" s="31"/>
      <c r="G95" s="31"/>
      <c r="H95" s="31"/>
      <c r="I95" s="31"/>
      <c r="J95" s="31"/>
      <c r="K95" s="31"/>
      <c r="L95" s="32"/>
      <c r="M95" s="39"/>
      <c r="N95" s="40"/>
      <c r="O95" s="40"/>
      <c r="P95" s="40"/>
      <c r="Q95" s="40"/>
      <c r="R95" s="40"/>
      <c r="S95" s="40"/>
      <c r="T95" s="40"/>
      <c r="U95" s="40"/>
      <c r="V95" s="41"/>
      <c r="W95" s="39"/>
      <c r="X95" s="41"/>
      <c r="Y95" s="39"/>
      <c r="Z95" s="41"/>
    </row>
    <row r="96" spans="1:26" ht="22.5" customHeight="1" x14ac:dyDescent="0.25">
      <c r="A96" s="15">
        <f t="shared" si="2"/>
        <v>73</v>
      </c>
      <c r="B96" s="47" t="s">
        <v>86</v>
      </c>
      <c r="C96" s="31"/>
      <c r="D96" s="31"/>
      <c r="E96" s="31"/>
      <c r="F96" s="31"/>
      <c r="G96" s="31"/>
      <c r="H96" s="31"/>
      <c r="I96" s="31"/>
      <c r="J96" s="31"/>
      <c r="K96" s="31"/>
      <c r="L96" s="32"/>
      <c r="M96" s="36" t="s">
        <v>89</v>
      </c>
      <c r="N96" s="37"/>
      <c r="O96" s="37"/>
      <c r="P96" s="37"/>
      <c r="Q96" s="37"/>
      <c r="R96" s="37"/>
      <c r="S96" s="37"/>
      <c r="T96" s="37"/>
      <c r="U96" s="37"/>
      <c r="V96" s="38"/>
      <c r="W96" s="44"/>
      <c r="X96" s="38"/>
      <c r="Y96" s="44"/>
      <c r="Z96" s="38"/>
    </row>
    <row r="97" spans="1:26" ht="22.5" customHeight="1" x14ac:dyDescent="0.25">
      <c r="A97" s="15">
        <f t="shared" si="2"/>
        <v>74</v>
      </c>
      <c r="B97" s="47" t="s">
        <v>88</v>
      </c>
      <c r="C97" s="31"/>
      <c r="D97" s="31"/>
      <c r="E97" s="31"/>
      <c r="F97" s="31"/>
      <c r="G97" s="31"/>
      <c r="H97" s="31"/>
      <c r="I97" s="31"/>
      <c r="J97" s="31"/>
      <c r="K97" s="31"/>
      <c r="L97" s="32"/>
      <c r="M97" s="39"/>
      <c r="N97" s="40"/>
      <c r="O97" s="40"/>
      <c r="P97" s="40"/>
      <c r="Q97" s="40"/>
      <c r="R97" s="40"/>
      <c r="S97" s="40"/>
      <c r="T97" s="40"/>
      <c r="U97" s="40"/>
      <c r="V97" s="41"/>
      <c r="W97" s="39"/>
      <c r="X97" s="41"/>
      <c r="Y97" s="39"/>
      <c r="Z97" s="41"/>
    </row>
    <row r="98" spans="1:26" ht="22.5" customHeight="1" x14ac:dyDescent="0.25">
      <c r="A98" s="15">
        <f t="shared" si="2"/>
        <v>75</v>
      </c>
      <c r="B98" s="47" t="s">
        <v>90</v>
      </c>
      <c r="C98" s="31"/>
      <c r="D98" s="31"/>
      <c r="E98" s="31"/>
      <c r="F98" s="31"/>
      <c r="G98" s="31"/>
      <c r="H98" s="31"/>
      <c r="I98" s="31"/>
      <c r="J98" s="31"/>
      <c r="K98" s="31"/>
      <c r="L98" s="32"/>
      <c r="M98" s="36" t="s">
        <v>91</v>
      </c>
      <c r="N98" s="37"/>
      <c r="O98" s="37"/>
      <c r="P98" s="37"/>
      <c r="Q98" s="37"/>
      <c r="R98" s="37"/>
      <c r="S98" s="37"/>
      <c r="T98" s="37"/>
      <c r="U98" s="37"/>
      <c r="V98" s="38"/>
      <c r="W98" s="44"/>
      <c r="X98" s="38"/>
      <c r="Y98" s="44"/>
      <c r="Z98" s="38"/>
    </row>
    <row r="99" spans="1:26" ht="22.5" customHeight="1" x14ac:dyDescent="0.25">
      <c r="A99" s="15">
        <f t="shared" si="2"/>
        <v>76</v>
      </c>
      <c r="B99" s="47" t="s">
        <v>92</v>
      </c>
      <c r="C99" s="31"/>
      <c r="D99" s="31"/>
      <c r="E99" s="31"/>
      <c r="F99" s="31"/>
      <c r="G99" s="31"/>
      <c r="H99" s="31"/>
      <c r="I99" s="31"/>
      <c r="J99" s="31"/>
      <c r="K99" s="31"/>
      <c r="L99" s="32"/>
      <c r="M99" s="39"/>
      <c r="N99" s="40"/>
      <c r="O99" s="40"/>
      <c r="P99" s="40"/>
      <c r="Q99" s="40"/>
      <c r="R99" s="40"/>
      <c r="S99" s="40"/>
      <c r="T99" s="40"/>
      <c r="U99" s="40"/>
      <c r="V99" s="41"/>
      <c r="W99" s="39"/>
      <c r="X99" s="41"/>
      <c r="Y99" s="39"/>
      <c r="Z99" s="41"/>
    </row>
    <row r="100" spans="1:26" ht="22.5" customHeight="1" x14ac:dyDescent="0.25">
      <c r="A100" s="15">
        <f t="shared" si="2"/>
        <v>77</v>
      </c>
      <c r="B100" s="47" t="s">
        <v>90</v>
      </c>
      <c r="C100" s="31"/>
      <c r="D100" s="31"/>
      <c r="E100" s="31"/>
      <c r="F100" s="31"/>
      <c r="G100" s="31"/>
      <c r="H100" s="31"/>
      <c r="I100" s="31"/>
      <c r="J100" s="31"/>
      <c r="K100" s="31"/>
      <c r="L100" s="32"/>
      <c r="M100" s="36" t="s">
        <v>93</v>
      </c>
      <c r="N100" s="37"/>
      <c r="O100" s="37"/>
      <c r="P100" s="37"/>
      <c r="Q100" s="37"/>
      <c r="R100" s="37"/>
      <c r="S100" s="37"/>
      <c r="T100" s="37"/>
      <c r="U100" s="37"/>
      <c r="V100" s="38"/>
      <c r="W100" s="44"/>
      <c r="X100" s="38"/>
      <c r="Y100" s="44"/>
      <c r="Z100" s="38"/>
    </row>
    <row r="101" spans="1:26" ht="22.5" customHeight="1" x14ac:dyDescent="0.25">
      <c r="A101" s="15">
        <f t="shared" si="2"/>
        <v>78</v>
      </c>
      <c r="B101" s="47" t="s">
        <v>92</v>
      </c>
      <c r="C101" s="31"/>
      <c r="D101" s="31"/>
      <c r="E101" s="31"/>
      <c r="F101" s="31"/>
      <c r="G101" s="31"/>
      <c r="H101" s="31"/>
      <c r="I101" s="31"/>
      <c r="J101" s="31"/>
      <c r="K101" s="31"/>
      <c r="L101" s="32"/>
      <c r="M101" s="39"/>
      <c r="N101" s="40"/>
      <c r="O101" s="40"/>
      <c r="P101" s="40"/>
      <c r="Q101" s="40"/>
      <c r="R101" s="40"/>
      <c r="S101" s="40"/>
      <c r="T101" s="40"/>
      <c r="U101" s="40"/>
      <c r="V101" s="41"/>
      <c r="W101" s="39"/>
      <c r="X101" s="41"/>
      <c r="Y101" s="39"/>
      <c r="Z101" s="41"/>
    </row>
    <row r="102" spans="1:26" ht="22.5" customHeight="1" x14ac:dyDescent="0.25">
      <c r="A102" s="15">
        <f t="shared" si="2"/>
        <v>79</v>
      </c>
      <c r="B102" s="47" t="s">
        <v>94</v>
      </c>
      <c r="C102" s="31"/>
      <c r="D102" s="31"/>
      <c r="E102" s="31"/>
      <c r="F102" s="31"/>
      <c r="G102" s="31"/>
      <c r="H102" s="31"/>
      <c r="I102" s="31"/>
      <c r="J102" s="31"/>
      <c r="K102" s="31"/>
      <c r="L102" s="32"/>
      <c r="M102" s="36" t="s">
        <v>95</v>
      </c>
      <c r="N102" s="37"/>
      <c r="O102" s="37"/>
      <c r="P102" s="37"/>
      <c r="Q102" s="37"/>
      <c r="R102" s="37"/>
      <c r="S102" s="37"/>
      <c r="T102" s="37"/>
      <c r="U102" s="37"/>
      <c r="V102" s="38"/>
      <c r="W102" s="44"/>
      <c r="X102" s="38"/>
      <c r="Y102" s="44"/>
      <c r="Z102" s="38"/>
    </row>
    <row r="103" spans="1:26" ht="22.5" customHeight="1" x14ac:dyDescent="0.25">
      <c r="A103" s="15">
        <f t="shared" si="2"/>
        <v>80</v>
      </c>
      <c r="B103" s="47" t="s">
        <v>96</v>
      </c>
      <c r="C103" s="31"/>
      <c r="D103" s="31"/>
      <c r="E103" s="31"/>
      <c r="F103" s="31"/>
      <c r="G103" s="31"/>
      <c r="H103" s="31"/>
      <c r="I103" s="31"/>
      <c r="J103" s="31"/>
      <c r="K103" s="31"/>
      <c r="L103" s="32"/>
      <c r="M103" s="39"/>
      <c r="N103" s="40"/>
      <c r="O103" s="40"/>
      <c r="P103" s="40"/>
      <c r="Q103" s="40"/>
      <c r="R103" s="40"/>
      <c r="S103" s="40"/>
      <c r="T103" s="40"/>
      <c r="U103" s="40"/>
      <c r="V103" s="41"/>
      <c r="W103" s="39"/>
      <c r="X103" s="41"/>
      <c r="Y103" s="39"/>
      <c r="Z103" s="41"/>
    </row>
    <row r="104" spans="1:26" ht="22.5" customHeight="1" x14ac:dyDescent="0.25">
      <c r="A104" s="15">
        <f t="shared" si="2"/>
        <v>81</v>
      </c>
      <c r="B104" s="47" t="s">
        <v>94</v>
      </c>
      <c r="C104" s="31"/>
      <c r="D104" s="31"/>
      <c r="E104" s="31"/>
      <c r="F104" s="31"/>
      <c r="G104" s="31"/>
      <c r="H104" s="31"/>
      <c r="I104" s="31"/>
      <c r="J104" s="31"/>
      <c r="K104" s="31"/>
      <c r="L104" s="32"/>
      <c r="M104" s="36" t="s">
        <v>97</v>
      </c>
      <c r="N104" s="37"/>
      <c r="O104" s="37"/>
      <c r="P104" s="37"/>
      <c r="Q104" s="37"/>
      <c r="R104" s="37"/>
      <c r="S104" s="37"/>
      <c r="T104" s="37"/>
      <c r="U104" s="37"/>
      <c r="V104" s="38"/>
      <c r="W104" s="44"/>
      <c r="X104" s="38"/>
      <c r="Y104" s="44"/>
      <c r="Z104" s="38"/>
    </row>
    <row r="105" spans="1:26" ht="22.5" customHeight="1" x14ac:dyDescent="0.25">
      <c r="A105" s="15">
        <f t="shared" si="2"/>
        <v>82</v>
      </c>
      <c r="B105" s="47" t="s">
        <v>96</v>
      </c>
      <c r="C105" s="31"/>
      <c r="D105" s="31"/>
      <c r="E105" s="31"/>
      <c r="F105" s="31"/>
      <c r="G105" s="31"/>
      <c r="H105" s="31"/>
      <c r="I105" s="31"/>
      <c r="J105" s="31"/>
      <c r="K105" s="31"/>
      <c r="L105" s="32"/>
      <c r="M105" s="39"/>
      <c r="N105" s="40"/>
      <c r="O105" s="40"/>
      <c r="P105" s="40"/>
      <c r="Q105" s="40"/>
      <c r="R105" s="40"/>
      <c r="S105" s="40"/>
      <c r="T105" s="40"/>
      <c r="U105" s="40"/>
      <c r="V105" s="41"/>
      <c r="W105" s="39"/>
      <c r="X105" s="41"/>
      <c r="Y105" s="39"/>
      <c r="Z105" s="41"/>
    </row>
    <row r="106" spans="1:26" ht="22.5" customHeight="1" x14ac:dyDescent="0.25">
      <c r="A106" s="15">
        <f t="shared" si="2"/>
        <v>83</v>
      </c>
      <c r="B106" s="50" t="s">
        <v>98</v>
      </c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2"/>
    </row>
    <row r="107" spans="1:26" ht="22.5" customHeight="1" x14ac:dyDescent="0.25">
      <c r="A107" s="15">
        <f t="shared" si="2"/>
        <v>84</v>
      </c>
      <c r="B107" s="58" t="s">
        <v>99</v>
      </c>
      <c r="C107" s="37"/>
      <c r="D107" s="37"/>
      <c r="E107" s="37"/>
      <c r="F107" s="37"/>
      <c r="G107" s="37"/>
      <c r="H107" s="37"/>
      <c r="I107" s="37"/>
      <c r="J107" s="38"/>
      <c r="K107" s="34" t="s">
        <v>100</v>
      </c>
      <c r="L107" s="32"/>
      <c r="M107" s="36" t="s">
        <v>101</v>
      </c>
      <c r="N107" s="37"/>
      <c r="O107" s="37"/>
      <c r="P107" s="37"/>
      <c r="Q107" s="37"/>
      <c r="R107" s="37"/>
      <c r="S107" s="37"/>
      <c r="T107" s="37"/>
      <c r="U107" s="37"/>
      <c r="V107" s="38"/>
      <c r="W107" s="35"/>
      <c r="X107" s="32"/>
      <c r="Y107" s="48"/>
      <c r="Z107" s="38"/>
    </row>
    <row r="108" spans="1:26" ht="22.5" customHeight="1" x14ac:dyDescent="0.25">
      <c r="A108" s="15">
        <f t="shared" si="2"/>
        <v>85</v>
      </c>
      <c r="B108" s="49"/>
      <c r="C108" s="51"/>
      <c r="D108" s="51"/>
      <c r="E108" s="51"/>
      <c r="F108" s="51"/>
      <c r="G108" s="51"/>
      <c r="H108" s="51"/>
      <c r="I108" s="51"/>
      <c r="J108" s="43"/>
      <c r="K108" s="34" t="s">
        <v>102</v>
      </c>
      <c r="L108" s="32"/>
      <c r="M108" s="49"/>
      <c r="N108" s="51"/>
      <c r="O108" s="51"/>
      <c r="P108" s="51"/>
      <c r="Q108" s="51"/>
      <c r="R108" s="51"/>
      <c r="S108" s="51"/>
      <c r="T108" s="51"/>
      <c r="U108" s="51"/>
      <c r="V108" s="43"/>
      <c r="W108" s="35"/>
      <c r="X108" s="32"/>
      <c r="Y108" s="49"/>
      <c r="Z108" s="43"/>
    </row>
    <row r="109" spans="1:26" ht="22.5" customHeight="1" x14ac:dyDescent="0.25">
      <c r="A109" s="15">
        <f t="shared" si="2"/>
        <v>86</v>
      </c>
      <c r="B109" s="49"/>
      <c r="C109" s="51"/>
      <c r="D109" s="51"/>
      <c r="E109" s="51"/>
      <c r="F109" s="51"/>
      <c r="G109" s="51"/>
      <c r="H109" s="51"/>
      <c r="I109" s="51"/>
      <c r="J109" s="43"/>
      <c r="K109" s="34" t="s">
        <v>103</v>
      </c>
      <c r="L109" s="32"/>
      <c r="M109" s="39"/>
      <c r="N109" s="40"/>
      <c r="O109" s="40"/>
      <c r="P109" s="40"/>
      <c r="Q109" s="40"/>
      <c r="R109" s="40"/>
      <c r="S109" s="40"/>
      <c r="T109" s="40"/>
      <c r="U109" s="40"/>
      <c r="V109" s="41"/>
      <c r="W109" s="35"/>
      <c r="X109" s="32"/>
      <c r="Y109" s="39"/>
      <c r="Z109" s="41"/>
    </row>
    <row r="110" spans="1:26" ht="22.5" customHeight="1" x14ac:dyDescent="0.25">
      <c r="A110" s="15">
        <f t="shared" si="2"/>
        <v>87</v>
      </c>
      <c r="B110" s="58" t="s">
        <v>104</v>
      </c>
      <c r="C110" s="37"/>
      <c r="D110" s="37"/>
      <c r="E110" s="37"/>
      <c r="F110" s="37"/>
      <c r="G110" s="37"/>
      <c r="H110" s="37"/>
      <c r="I110" s="37"/>
      <c r="J110" s="38"/>
      <c r="K110" s="34" t="s">
        <v>105</v>
      </c>
      <c r="L110" s="32"/>
      <c r="M110" s="36" t="s">
        <v>101</v>
      </c>
      <c r="N110" s="37"/>
      <c r="O110" s="37"/>
      <c r="P110" s="37"/>
      <c r="Q110" s="37"/>
      <c r="R110" s="37"/>
      <c r="S110" s="37"/>
      <c r="T110" s="37"/>
      <c r="U110" s="37"/>
      <c r="V110" s="38"/>
      <c r="W110" s="35"/>
      <c r="X110" s="32"/>
      <c r="Y110" s="48"/>
      <c r="Z110" s="38"/>
    </row>
    <row r="111" spans="1:26" ht="22.5" customHeight="1" x14ac:dyDescent="0.25">
      <c r="A111" s="15">
        <f t="shared" si="2"/>
        <v>88</v>
      </c>
      <c r="B111" s="49"/>
      <c r="C111" s="51"/>
      <c r="D111" s="51"/>
      <c r="E111" s="51"/>
      <c r="F111" s="51"/>
      <c r="G111" s="51"/>
      <c r="H111" s="51"/>
      <c r="I111" s="51"/>
      <c r="J111" s="43"/>
      <c r="K111" s="34" t="s">
        <v>106</v>
      </c>
      <c r="L111" s="32"/>
      <c r="M111" s="49"/>
      <c r="N111" s="51"/>
      <c r="O111" s="51"/>
      <c r="P111" s="51"/>
      <c r="Q111" s="51"/>
      <c r="R111" s="51"/>
      <c r="S111" s="51"/>
      <c r="T111" s="51"/>
      <c r="U111" s="51"/>
      <c r="V111" s="43"/>
      <c r="W111" s="35"/>
      <c r="X111" s="32"/>
      <c r="Y111" s="49"/>
      <c r="Z111" s="43"/>
    </row>
    <row r="112" spans="1:26" ht="22.5" customHeight="1" x14ac:dyDescent="0.25">
      <c r="A112" s="15">
        <f t="shared" si="2"/>
        <v>89</v>
      </c>
      <c r="B112" s="49"/>
      <c r="C112" s="51"/>
      <c r="D112" s="51"/>
      <c r="E112" s="51"/>
      <c r="F112" s="51"/>
      <c r="G112" s="51"/>
      <c r="H112" s="51"/>
      <c r="I112" s="51"/>
      <c r="J112" s="43"/>
      <c r="K112" s="34" t="s">
        <v>107</v>
      </c>
      <c r="L112" s="32"/>
      <c r="M112" s="39"/>
      <c r="N112" s="40"/>
      <c r="O112" s="40"/>
      <c r="P112" s="40"/>
      <c r="Q112" s="40"/>
      <c r="R112" s="40"/>
      <c r="S112" s="40"/>
      <c r="T112" s="40"/>
      <c r="U112" s="40"/>
      <c r="V112" s="41"/>
      <c r="W112" s="35"/>
      <c r="X112" s="32"/>
      <c r="Y112" s="39"/>
      <c r="Z112" s="41"/>
    </row>
    <row r="113" spans="1:26" ht="22.5" customHeight="1" x14ac:dyDescent="0.25">
      <c r="A113" s="15">
        <f t="shared" si="2"/>
        <v>90</v>
      </c>
      <c r="B113" s="58" t="s">
        <v>108</v>
      </c>
      <c r="C113" s="37"/>
      <c r="D113" s="37"/>
      <c r="E113" s="37"/>
      <c r="F113" s="37"/>
      <c r="G113" s="37"/>
      <c r="H113" s="37"/>
      <c r="I113" s="37"/>
      <c r="J113" s="38"/>
      <c r="K113" s="34" t="s">
        <v>105</v>
      </c>
      <c r="L113" s="32"/>
      <c r="M113" s="36" t="s">
        <v>101</v>
      </c>
      <c r="N113" s="37"/>
      <c r="O113" s="37"/>
      <c r="P113" s="37"/>
      <c r="Q113" s="37"/>
      <c r="R113" s="37"/>
      <c r="S113" s="37"/>
      <c r="T113" s="37"/>
      <c r="U113" s="37"/>
      <c r="V113" s="38"/>
      <c r="W113" s="35"/>
      <c r="X113" s="32"/>
      <c r="Y113" s="48"/>
      <c r="Z113" s="38"/>
    </row>
    <row r="114" spans="1:26" ht="22.5" customHeight="1" x14ac:dyDescent="0.25">
      <c r="A114" s="15">
        <f t="shared" si="2"/>
        <v>91</v>
      </c>
      <c r="B114" s="49"/>
      <c r="C114" s="51"/>
      <c r="D114" s="51"/>
      <c r="E114" s="51"/>
      <c r="F114" s="51"/>
      <c r="G114" s="51"/>
      <c r="H114" s="51"/>
      <c r="I114" s="51"/>
      <c r="J114" s="43"/>
      <c r="K114" s="34" t="s">
        <v>106</v>
      </c>
      <c r="L114" s="32"/>
      <c r="M114" s="49"/>
      <c r="N114" s="51"/>
      <c r="O114" s="51"/>
      <c r="P114" s="51"/>
      <c r="Q114" s="51"/>
      <c r="R114" s="51"/>
      <c r="S114" s="51"/>
      <c r="T114" s="51"/>
      <c r="U114" s="51"/>
      <c r="V114" s="43"/>
      <c r="W114" s="35"/>
      <c r="X114" s="32"/>
      <c r="Y114" s="49"/>
      <c r="Z114" s="43"/>
    </row>
    <row r="115" spans="1:26" ht="22.5" customHeight="1" x14ac:dyDescent="0.25">
      <c r="A115" s="15">
        <f t="shared" si="2"/>
        <v>92</v>
      </c>
      <c r="B115" s="49"/>
      <c r="C115" s="51"/>
      <c r="D115" s="51"/>
      <c r="E115" s="51"/>
      <c r="F115" s="51"/>
      <c r="G115" s="51"/>
      <c r="H115" s="51"/>
      <c r="I115" s="51"/>
      <c r="J115" s="43"/>
      <c r="K115" s="34" t="s">
        <v>107</v>
      </c>
      <c r="L115" s="32"/>
      <c r="M115" s="39"/>
      <c r="N115" s="40"/>
      <c r="O115" s="40"/>
      <c r="P115" s="40"/>
      <c r="Q115" s="40"/>
      <c r="R115" s="40"/>
      <c r="S115" s="40"/>
      <c r="T115" s="40"/>
      <c r="U115" s="40"/>
      <c r="V115" s="41"/>
      <c r="W115" s="35"/>
      <c r="X115" s="32"/>
      <c r="Y115" s="39"/>
      <c r="Z115" s="41"/>
    </row>
    <row r="116" spans="1:26" ht="22.5" customHeight="1" x14ac:dyDescent="0.25">
      <c r="A116" s="15">
        <f t="shared" si="2"/>
        <v>93</v>
      </c>
      <c r="B116" s="50" t="s">
        <v>109</v>
      </c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2"/>
    </row>
    <row r="117" spans="1:26" ht="22.5" customHeight="1" x14ac:dyDescent="0.25">
      <c r="A117" s="15">
        <f t="shared" si="2"/>
        <v>94</v>
      </c>
      <c r="B117" s="58" t="s">
        <v>110</v>
      </c>
      <c r="C117" s="37"/>
      <c r="D117" s="37"/>
      <c r="E117" s="37"/>
      <c r="F117" s="37"/>
      <c r="G117" s="37"/>
      <c r="H117" s="37"/>
      <c r="I117" s="37"/>
      <c r="J117" s="38"/>
      <c r="K117" s="34" t="s">
        <v>111</v>
      </c>
      <c r="L117" s="32"/>
      <c r="M117" s="69" t="s">
        <v>112</v>
      </c>
      <c r="N117" s="37"/>
      <c r="O117" s="37"/>
      <c r="P117" s="37"/>
      <c r="Q117" s="37"/>
      <c r="R117" s="37"/>
      <c r="S117" s="37"/>
      <c r="T117" s="37"/>
      <c r="U117" s="37"/>
      <c r="V117" s="37"/>
      <c r="W117" s="35"/>
      <c r="X117" s="32"/>
      <c r="Y117" s="48"/>
      <c r="Z117" s="38"/>
    </row>
    <row r="118" spans="1:26" ht="22.5" customHeight="1" x14ac:dyDescent="0.25">
      <c r="A118" s="15">
        <f t="shared" si="2"/>
        <v>95</v>
      </c>
      <c r="B118" s="49"/>
      <c r="C118" s="51"/>
      <c r="D118" s="51"/>
      <c r="E118" s="51"/>
      <c r="F118" s="51"/>
      <c r="G118" s="51"/>
      <c r="H118" s="51"/>
      <c r="I118" s="51"/>
      <c r="J118" s="43"/>
      <c r="K118" s="34" t="s">
        <v>113</v>
      </c>
      <c r="L118" s="32"/>
      <c r="M118" s="49"/>
      <c r="N118" s="51"/>
      <c r="O118" s="51"/>
      <c r="P118" s="51"/>
      <c r="Q118" s="51"/>
      <c r="R118" s="51"/>
      <c r="S118" s="51"/>
      <c r="T118" s="51"/>
      <c r="U118" s="51"/>
      <c r="V118" s="51"/>
      <c r="W118" s="35"/>
      <c r="X118" s="32"/>
      <c r="Y118" s="49"/>
      <c r="Z118" s="43"/>
    </row>
    <row r="119" spans="1:26" ht="22.5" customHeight="1" x14ac:dyDescent="0.25">
      <c r="A119" s="15">
        <f t="shared" si="2"/>
        <v>96</v>
      </c>
      <c r="B119" s="49"/>
      <c r="C119" s="51"/>
      <c r="D119" s="51"/>
      <c r="E119" s="51"/>
      <c r="F119" s="51"/>
      <c r="G119" s="51"/>
      <c r="H119" s="51"/>
      <c r="I119" s="51"/>
      <c r="J119" s="43"/>
      <c r="K119" s="34" t="s">
        <v>114</v>
      </c>
      <c r="L119" s="32"/>
      <c r="M119" s="49"/>
      <c r="N119" s="51"/>
      <c r="O119" s="51"/>
      <c r="P119" s="51"/>
      <c r="Q119" s="51"/>
      <c r="R119" s="51"/>
      <c r="S119" s="51"/>
      <c r="T119" s="51"/>
      <c r="U119" s="51"/>
      <c r="V119" s="51"/>
      <c r="W119" s="35"/>
      <c r="X119" s="32"/>
      <c r="Y119" s="49"/>
      <c r="Z119" s="43"/>
    </row>
    <row r="120" spans="1:26" ht="22.5" customHeight="1" x14ac:dyDescent="0.25">
      <c r="A120" s="15">
        <f t="shared" si="2"/>
        <v>97</v>
      </c>
      <c r="B120" s="49"/>
      <c r="C120" s="51"/>
      <c r="D120" s="51"/>
      <c r="E120" s="51"/>
      <c r="F120" s="51"/>
      <c r="G120" s="51"/>
      <c r="H120" s="51"/>
      <c r="I120" s="51"/>
      <c r="J120" s="43"/>
      <c r="K120" s="34" t="s">
        <v>115</v>
      </c>
      <c r="L120" s="32"/>
      <c r="M120" s="49"/>
      <c r="N120" s="51"/>
      <c r="O120" s="51"/>
      <c r="P120" s="51"/>
      <c r="Q120" s="51"/>
      <c r="R120" s="51"/>
      <c r="S120" s="51"/>
      <c r="T120" s="51"/>
      <c r="U120" s="51"/>
      <c r="V120" s="51"/>
      <c r="W120" s="35"/>
      <c r="X120" s="32"/>
      <c r="Y120" s="49"/>
      <c r="Z120" s="43"/>
    </row>
    <row r="121" spans="1:26" ht="22.5" customHeight="1" x14ac:dyDescent="0.25">
      <c r="A121" s="15">
        <f t="shared" ref="A121:A147" si="3">A120+1</f>
        <v>98</v>
      </c>
      <c r="B121" s="49"/>
      <c r="C121" s="51"/>
      <c r="D121" s="51"/>
      <c r="E121" s="51"/>
      <c r="F121" s="51"/>
      <c r="G121" s="51"/>
      <c r="H121" s="51"/>
      <c r="I121" s="51"/>
      <c r="J121" s="43"/>
      <c r="K121" s="34" t="s">
        <v>116</v>
      </c>
      <c r="L121" s="32"/>
      <c r="M121" s="49"/>
      <c r="N121" s="51"/>
      <c r="O121" s="51"/>
      <c r="P121" s="51"/>
      <c r="Q121" s="51"/>
      <c r="R121" s="51"/>
      <c r="S121" s="51"/>
      <c r="T121" s="51"/>
      <c r="U121" s="51"/>
      <c r="V121" s="51"/>
      <c r="W121" s="35"/>
      <c r="X121" s="32"/>
      <c r="Y121" s="49"/>
      <c r="Z121" s="43"/>
    </row>
    <row r="122" spans="1:26" ht="22.5" customHeight="1" x14ac:dyDescent="0.25">
      <c r="A122" s="15">
        <f t="shared" si="3"/>
        <v>99</v>
      </c>
      <c r="B122" s="49"/>
      <c r="C122" s="51"/>
      <c r="D122" s="51"/>
      <c r="E122" s="51"/>
      <c r="F122" s="51"/>
      <c r="G122" s="51"/>
      <c r="H122" s="51"/>
      <c r="I122" s="51"/>
      <c r="J122" s="43"/>
      <c r="K122" s="34" t="s">
        <v>117</v>
      </c>
      <c r="L122" s="32"/>
      <c r="M122" s="49"/>
      <c r="N122" s="51"/>
      <c r="O122" s="51"/>
      <c r="P122" s="51"/>
      <c r="Q122" s="51"/>
      <c r="R122" s="51"/>
      <c r="S122" s="51"/>
      <c r="T122" s="51"/>
      <c r="U122" s="51"/>
      <c r="V122" s="51"/>
      <c r="W122" s="35"/>
      <c r="X122" s="32"/>
      <c r="Y122" s="49"/>
      <c r="Z122" s="43"/>
    </row>
    <row r="123" spans="1:26" ht="22.5" customHeight="1" x14ac:dyDescent="0.25">
      <c r="A123" s="15">
        <f t="shared" si="3"/>
        <v>100</v>
      </c>
      <c r="B123" s="49"/>
      <c r="C123" s="51"/>
      <c r="D123" s="51"/>
      <c r="E123" s="51"/>
      <c r="F123" s="51"/>
      <c r="G123" s="51"/>
      <c r="H123" s="51"/>
      <c r="I123" s="51"/>
      <c r="J123" s="43"/>
      <c r="K123" s="34" t="s">
        <v>118</v>
      </c>
      <c r="L123" s="32"/>
      <c r="M123" s="49"/>
      <c r="N123" s="51"/>
      <c r="O123" s="51"/>
      <c r="P123" s="51"/>
      <c r="Q123" s="51"/>
      <c r="R123" s="51"/>
      <c r="S123" s="51"/>
      <c r="T123" s="51"/>
      <c r="U123" s="51"/>
      <c r="V123" s="51"/>
      <c r="W123" s="35"/>
      <c r="X123" s="32"/>
      <c r="Y123" s="49"/>
      <c r="Z123" s="43"/>
    </row>
    <row r="124" spans="1:26" ht="22.5" customHeight="1" x14ac:dyDescent="0.25">
      <c r="A124" s="15">
        <f t="shared" si="3"/>
        <v>101</v>
      </c>
      <c r="B124" s="49"/>
      <c r="C124" s="51"/>
      <c r="D124" s="51"/>
      <c r="E124" s="51"/>
      <c r="F124" s="51"/>
      <c r="G124" s="51"/>
      <c r="H124" s="51"/>
      <c r="I124" s="51"/>
      <c r="J124" s="43"/>
      <c r="K124" s="34" t="s">
        <v>119</v>
      </c>
      <c r="L124" s="32"/>
      <c r="M124" s="49"/>
      <c r="N124" s="51"/>
      <c r="O124" s="51"/>
      <c r="P124" s="51"/>
      <c r="Q124" s="51"/>
      <c r="R124" s="51"/>
      <c r="S124" s="51"/>
      <c r="T124" s="51"/>
      <c r="U124" s="51"/>
      <c r="V124" s="51"/>
      <c r="W124" s="35"/>
      <c r="X124" s="32"/>
      <c r="Y124" s="49"/>
      <c r="Z124" s="43"/>
    </row>
    <row r="125" spans="1:26" ht="22.5" customHeight="1" x14ac:dyDescent="0.25">
      <c r="A125" s="15">
        <f t="shared" si="3"/>
        <v>102</v>
      </c>
      <c r="B125" s="49"/>
      <c r="C125" s="51"/>
      <c r="D125" s="51"/>
      <c r="E125" s="51"/>
      <c r="F125" s="51"/>
      <c r="G125" s="51"/>
      <c r="H125" s="51"/>
      <c r="I125" s="51"/>
      <c r="J125" s="43"/>
      <c r="K125" s="34" t="s">
        <v>120</v>
      </c>
      <c r="L125" s="32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35"/>
      <c r="X125" s="32"/>
      <c r="Y125" s="39"/>
      <c r="Z125" s="41"/>
    </row>
    <row r="126" spans="1:26" ht="22.5" customHeight="1" x14ac:dyDescent="0.25">
      <c r="A126" s="15">
        <f t="shared" si="3"/>
        <v>103</v>
      </c>
      <c r="B126" s="58" t="s">
        <v>121</v>
      </c>
      <c r="C126" s="37"/>
      <c r="D126" s="37"/>
      <c r="E126" s="37"/>
      <c r="F126" s="37"/>
      <c r="G126" s="37"/>
      <c r="H126" s="37"/>
      <c r="I126" s="37"/>
      <c r="J126" s="38"/>
      <c r="K126" s="34" t="s">
        <v>122</v>
      </c>
      <c r="L126" s="32"/>
      <c r="M126" s="73" t="s">
        <v>112</v>
      </c>
      <c r="N126" s="37"/>
      <c r="O126" s="37"/>
      <c r="P126" s="37"/>
      <c r="Q126" s="37"/>
      <c r="R126" s="37"/>
      <c r="S126" s="37"/>
      <c r="T126" s="37"/>
      <c r="U126" s="37"/>
      <c r="V126" s="38"/>
      <c r="W126" s="35"/>
      <c r="X126" s="32"/>
      <c r="Y126" s="44"/>
      <c r="Z126" s="38"/>
    </row>
    <row r="127" spans="1:26" ht="22.5" customHeight="1" x14ac:dyDescent="0.25">
      <c r="A127" s="15">
        <f t="shared" si="3"/>
        <v>104</v>
      </c>
      <c r="B127" s="49"/>
      <c r="C127" s="51"/>
      <c r="D127" s="51"/>
      <c r="E127" s="51"/>
      <c r="F127" s="51"/>
      <c r="G127" s="51"/>
      <c r="H127" s="51"/>
      <c r="I127" s="51"/>
      <c r="J127" s="43"/>
      <c r="K127" s="34" t="s">
        <v>123</v>
      </c>
      <c r="L127" s="32"/>
      <c r="M127" s="49"/>
      <c r="N127" s="51"/>
      <c r="O127" s="51"/>
      <c r="P127" s="51"/>
      <c r="Q127" s="51"/>
      <c r="R127" s="51"/>
      <c r="S127" s="51"/>
      <c r="T127" s="51"/>
      <c r="U127" s="51"/>
      <c r="V127" s="43"/>
      <c r="W127" s="35"/>
      <c r="X127" s="32"/>
      <c r="Y127" s="49"/>
      <c r="Z127" s="43"/>
    </row>
    <row r="128" spans="1:26" ht="22.5" customHeight="1" x14ac:dyDescent="0.25">
      <c r="A128" s="15">
        <f t="shared" si="3"/>
        <v>105</v>
      </c>
      <c r="B128" s="49"/>
      <c r="C128" s="51"/>
      <c r="D128" s="51"/>
      <c r="E128" s="51"/>
      <c r="F128" s="51"/>
      <c r="G128" s="51"/>
      <c r="H128" s="51"/>
      <c r="I128" s="51"/>
      <c r="J128" s="43"/>
      <c r="K128" s="34" t="s">
        <v>124</v>
      </c>
      <c r="L128" s="32"/>
      <c r="M128" s="49"/>
      <c r="N128" s="51"/>
      <c r="O128" s="51"/>
      <c r="P128" s="51"/>
      <c r="Q128" s="51"/>
      <c r="R128" s="51"/>
      <c r="S128" s="51"/>
      <c r="T128" s="51"/>
      <c r="U128" s="51"/>
      <c r="V128" s="43"/>
      <c r="W128" s="35"/>
      <c r="X128" s="32"/>
      <c r="Y128" s="49"/>
      <c r="Z128" s="43"/>
    </row>
    <row r="129" spans="1:26" ht="22.5" customHeight="1" x14ac:dyDescent="0.25">
      <c r="A129" s="15">
        <f t="shared" si="3"/>
        <v>106</v>
      </c>
      <c r="B129" s="49"/>
      <c r="C129" s="51"/>
      <c r="D129" s="51"/>
      <c r="E129" s="51"/>
      <c r="F129" s="51"/>
      <c r="G129" s="51"/>
      <c r="H129" s="51"/>
      <c r="I129" s="51"/>
      <c r="J129" s="43"/>
      <c r="K129" s="34" t="s">
        <v>105</v>
      </c>
      <c r="L129" s="32"/>
      <c r="M129" s="49"/>
      <c r="N129" s="51"/>
      <c r="O129" s="51"/>
      <c r="P129" s="51"/>
      <c r="Q129" s="51"/>
      <c r="R129" s="51"/>
      <c r="S129" s="51"/>
      <c r="T129" s="51"/>
      <c r="U129" s="51"/>
      <c r="V129" s="43"/>
      <c r="W129" s="35"/>
      <c r="X129" s="32"/>
      <c r="Y129" s="49"/>
      <c r="Z129" s="43"/>
    </row>
    <row r="130" spans="1:26" ht="22.5" customHeight="1" x14ac:dyDescent="0.25">
      <c r="A130" s="15">
        <f t="shared" si="3"/>
        <v>107</v>
      </c>
      <c r="B130" s="49"/>
      <c r="C130" s="51"/>
      <c r="D130" s="51"/>
      <c r="E130" s="51"/>
      <c r="F130" s="51"/>
      <c r="G130" s="51"/>
      <c r="H130" s="51"/>
      <c r="I130" s="51"/>
      <c r="J130" s="43"/>
      <c r="K130" s="34" t="s">
        <v>106</v>
      </c>
      <c r="L130" s="32"/>
      <c r="M130" s="49"/>
      <c r="N130" s="51"/>
      <c r="O130" s="51"/>
      <c r="P130" s="51"/>
      <c r="Q130" s="51"/>
      <c r="R130" s="51"/>
      <c r="S130" s="51"/>
      <c r="T130" s="51"/>
      <c r="U130" s="51"/>
      <c r="V130" s="43"/>
      <c r="W130" s="35"/>
      <c r="X130" s="32"/>
      <c r="Y130" s="49"/>
      <c r="Z130" s="43"/>
    </row>
    <row r="131" spans="1:26" ht="22.5" customHeight="1" x14ac:dyDescent="0.25">
      <c r="A131" s="15">
        <f t="shared" si="3"/>
        <v>108</v>
      </c>
      <c r="B131" s="49"/>
      <c r="C131" s="51"/>
      <c r="D131" s="51"/>
      <c r="E131" s="51"/>
      <c r="F131" s="51"/>
      <c r="G131" s="51"/>
      <c r="H131" s="51"/>
      <c r="I131" s="51"/>
      <c r="J131" s="43"/>
      <c r="K131" s="34" t="s">
        <v>107</v>
      </c>
      <c r="L131" s="32"/>
      <c r="M131" s="49"/>
      <c r="N131" s="51"/>
      <c r="O131" s="51"/>
      <c r="P131" s="51"/>
      <c r="Q131" s="51"/>
      <c r="R131" s="51"/>
      <c r="S131" s="51"/>
      <c r="T131" s="51"/>
      <c r="U131" s="51"/>
      <c r="V131" s="43"/>
      <c r="W131" s="35"/>
      <c r="X131" s="32"/>
      <c r="Y131" s="39"/>
      <c r="Z131" s="41"/>
    </row>
    <row r="132" spans="1:26" ht="22.5" customHeight="1" x14ac:dyDescent="0.25">
      <c r="A132" s="15">
        <f t="shared" si="3"/>
        <v>109</v>
      </c>
      <c r="B132" s="58" t="s">
        <v>125</v>
      </c>
      <c r="C132" s="37"/>
      <c r="D132" s="37"/>
      <c r="E132" s="37"/>
      <c r="F132" s="37"/>
      <c r="G132" s="37"/>
      <c r="H132" s="37"/>
      <c r="I132" s="37"/>
      <c r="J132" s="38"/>
      <c r="K132" s="34" t="s">
        <v>105</v>
      </c>
      <c r="L132" s="32"/>
      <c r="M132" s="92" t="s">
        <v>112</v>
      </c>
      <c r="N132" s="37"/>
      <c r="O132" s="37"/>
      <c r="P132" s="37"/>
      <c r="Q132" s="37"/>
      <c r="R132" s="37"/>
      <c r="S132" s="37"/>
      <c r="T132" s="37"/>
      <c r="U132" s="37"/>
      <c r="V132" s="38"/>
      <c r="W132" s="35"/>
      <c r="X132" s="32"/>
      <c r="Y132" s="48"/>
      <c r="Z132" s="38"/>
    </row>
    <row r="133" spans="1:26" ht="22.5" customHeight="1" x14ac:dyDescent="0.25">
      <c r="A133" s="15">
        <f t="shared" si="3"/>
        <v>110</v>
      </c>
      <c r="B133" s="49"/>
      <c r="C133" s="51"/>
      <c r="D133" s="51"/>
      <c r="E133" s="51"/>
      <c r="F133" s="51"/>
      <c r="G133" s="51"/>
      <c r="H133" s="51"/>
      <c r="I133" s="51"/>
      <c r="J133" s="43"/>
      <c r="K133" s="34" t="s">
        <v>106</v>
      </c>
      <c r="L133" s="32"/>
      <c r="M133" s="49"/>
      <c r="N133" s="51"/>
      <c r="O133" s="51"/>
      <c r="P133" s="51"/>
      <c r="Q133" s="51"/>
      <c r="R133" s="51"/>
      <c r="S133" s="51"/>
      <c r="T133" s="51"/>
      <c r="U133" s="51"/>
      <c r="V133" s="43"/>
      <c r="W133" s="35"/>
      <c r="X133" s="32"/>
      <c r="Y133" s="49"/>
      <c r="Z133" s="43"/>
    </row>
    <row r="134" spans="1:26" ht="22.5" customHeight="1" x14ac:dyDescent="0.25">
      <c r="A134" s="15">
        <f t="shared" si="3"/>
        <v>111</v>
      </c>
      <c r="B134" s="49"/>
      <c r="C134" s="51"/>
      <c r="D134" s="51"/>
      <c r="E134" s="51"/>
      <c r="F134" s="51"/>
      <c r="G134" s="51"/>
      <c r="H134" s="51"/>
      <c r="I134" s="51"/>
      <c r="J134" s="43"/>
      <c r="K134" s="34" t="s">
        <v>107</v>
      </c>
      <c r="L134" s="32"/>
      <c r="M134" s="39"/>
      <c r="N134" s="40"/>
      <c r="O134" s="40"/>
      <c r="P134" s="40"/>
      <c r="Q134" s="40"/>
      <c r="R134" s="40"/>
      <c r="S134" s="40"/>
      <c r="T134" s="40"/>
      <c r="U134" s="40"/>
      <c r="V134" s="41"/>
      <c r="W134" s="35"/>
      <c r="X134" s="32"/>
      <c r="Y134" s="39"/>
      <c r="Z134" s="41"/>
    </row>
    <row r="135" spans="1:26" ht="22.5" customHeight="1" x14ac:dyDescent="0.25">
      <c r="A135" s="15">
        <f t="shared" si="3"/>
        <v>112</v>
      </c>
      <c r="B135" s="50" t="s">
        <v>126</v>
      </c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2"/>
    </row>
    <row r="136" spans="1:26" ht="22.5" customHeight="1" x14ac:dyDescent="0.25">
      <c r="A136" s="15">
        <f t="shared" si="3"/>
        <v>113</v>
      </c>
      <c r="B136" s="58" t="s">
        <v>127</v>
      </c>
      <c r="C136" s="37"/>
      <c r="D136" s="37"/>
      <c r="E136" s="37"/>
      <c r="F136" s="37"/>
      <c r="G136" s="37"/>
      <c r="H136" s="37"/>
      <c r="I136" s="37"/>
      <c r="J136" s="38"/>
      <c r="K136" s="34" t="s">
        <v>122</v>
      </c>
      <c r="L136" s="32"/>
      <c r="M136" s="69"/>
      <c r="N136" s="37"/>
      <c r="O136" s="37"/>
      <c r="P136" s="37"/>
      <c r="Q136" s="37"/>
      <c r="R136" s="37"/>
      <c r="S136" s="37"/>
      <c r="T136" s="37"/>
      <c r="U136" s="37"/>
      <c r="V136" s="37"/>
      <c r="W136" s="91" t="s">
        <v>128</v>
      </c>
      <c r="X136" s="37"/>
      <c r="Y136" s="44"/>
      <c r="Z136" s="38"/>
    </row>
    <row r="137" spans="1:26" ht="22.5" customHeight="1" x14ac:dyDescent="0.25">
      <c r="A137" s="15">
        <f t="shared" si="3"/>
        <v>114</v>
      </c>
      <c r="B137" s="49"/>
      <c r="C137" s="51"/>
      <c r="D137" s="51"/>
      <c r="E137" s="51"/>
      <c r="F137" s="51"/>
      <c r="G137" s="51"/>
      <c r="H137" s="51"/>
      <c r="I137" s="51"/>
      <c r="J137" s="43"/>
      <c r="K137" s="34" t="s">
        <v>123</v>
      </c>
      <c r="L137" s="32"/>
      <c r="M137" s="49"/>
      <c r="N137" s="51"/>
      <c r="O137" s="51"/>
      <c r="P137" s="51"/>
      <c r="Q137" s="51"/>
      <c r="R137" s="51"/>
      <c r="S137" s="51"/>
      <c r="T137" s="51"/>
      <c r="U137" s="51"/>
      <c r="V137" s="51"/>
      <c r="W137" s="49"/>
      <c r="X137" s="51"/>
      <c r="Y137" s="49"/>
      <c r="Z137" s="43"/>
    </row>
    <row r="138" spans="1:26" ht="22.5" customHeight="1" x14ac:dyDescent="0.25">
      <c r="A138" s="15">
        <f t="shared" si="3"/>
        <v>115</v>
      </c>
      <c r="B138" s="49"/>
      <c r="C138" s="51"/>
      <c r="D138" s="51"/>
      <c r="E138" s="51"/>
      <c r="F138" s="51"/>
      <c r="G138" s="51"/>
      <c r="H138" s="51"/>
      <c r="I138" s="51"/>
      <c r="J138" s="43"/>
      <c r="K138" s="34" t="s">
        <v>124</v>
      </c>
      <c r="L138" s="32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9"/>
      <c r="X138" s="51"/>
      <c r="Y138" s="49"/>
      <c r="Z138" s="43"/>
    </row>
    <row r="139" spans="1:26" ht="22.5" customHeight="1" x14ac:dyDescent="0.25">
      <c r="A139" s="15">
        <f t="shared" si="3"/>
        <v>116</v>
      </c>
      <c r="B139" s="58" t="s">
        <v>129</v>
      </c>
      <c r="C139" s="37"/>
      <c r="D139" s="37"/>
      <c r="E139" s="37"/>
      <c r="F139" s="37"/>
      <c r="G139" s="37"/>
      <c r="H139" s="37"/>
      <c r="I139" s="37"/>
      <c r="J139" s="38"/>
      <c r="K139" s="34" t="s">
        <v>122</v>
      </c>
      <c r="L139" s="32"/>
      <c r="M139" s="69"/>
      <c r="N139" s="37"/>
      <c r="O139" s="37"/>
      <c r="P139" s="37"/>
      <c r="Q139" s="37"/>
      <c r="R139" s="37"/>
      <c r="S139" s="37"/>
      <c r="T139" s="37"/>
      <c r="U139" s="37"/>
      <c r="V139" s="37"/>
      <c r="W139" s="49"/>
      <c r="X139" s="51"/>
      <c r="Y139" s="49"/>
      <c r="Z139" s="43"/>
    </row>
    <row r="140" spans="1:26" ht="22.5" customHeight="1" x14ac:dyDescent="0.25">
      <c r="A140" s="15">
        <f t="shared" si="3"/>
        <v>117</v>
      </c>
      <c r="B140" s="49"/>
      <c r="C140" s="51"/>
      <c r="D140" s="51"/>
      <c r="E140" s="51"/>
      <c r="F140" s="51"/>
      <c r="G140" s="51"/>
      <c r="H140" s="51"/>
      <c r="I140" s="51"/>
      <c r="J140" s="43"/>
      <c r="K140" s="34" t="s">
        <v>123</v>
      </c>
      <c r="L140" s="32"/>
      <c r="M140" s="49"/>
      <c r="N140" s="51"/>
      <c r="O140" s="51"/>
      <c r="P140" s="51"/>
      <c r="Q140" s="51"/>
      <c r="R140" s="51"/>
      <c r="S140" s="51"/>
      <c r="T140" s="51"/>
      <c r="U140" s="51"/>
      <c r="V140" s="51"/>
      <c r="W140" s="49"/>
      <c r="X140" s="51"/>
      <c r="Y140" s="49"/>
      <c r="Z140" s="43"/>
    </row>
    <row r="141" spans="1:26" ht="22.5" customHeight="1" x14ac:dyDescent="0.25">
      <c r="A141" s="15">
        <f t="shared" si="3"/>
        <v>118</v>
      </c>
      <c r="B141" s="49"/>
      <c r="C141" s="51"/>
      <c r="D141" s="51"/>
      <c r="E141" s="51"/>
      <c r="F141" s="51"/>
      <c r="G141" s="51"/>
      <c r="H141" s="51"/>
      <c r="I141" s="51"/>
      <c r="J141" s="43"/>
      <c r="K141" s="34" t="s">
        <v>124</v>
      </c>
      <c r="L141" s="32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39"/>
      <c r="X141" s="40"/>
      <c r="Y141" s="39"/>
      <c r="Z141" s="41"/>
    </row>
    <row r="142" spans="1:26" ht="22.5" customHeight="1" x14ac:dyDescent="0.25">
      <c r="A142" s="15">
        <f t="shared" si="3"/>
        <v>119</v>
      </c>
      <c r="B142" s="63" t="s">
        <v>130</v>
      </c>
      <c r="C142" s="31"/>
      <c r="D142" s="31"/>
      <c r="E142" s="31"/>
      <c r="F142" s="31"/>
      <c r="G142" s="31"/>
      <c r="H142" s="31"/>
      <c r="I142" s="31"/>
      <c r="J142" s="31"/>
      <c r="K142" s="31"/>
      <c r="L142" s="32"/>
      <c r="M142" s="87"/>
      <c r="N142" s="31"/>
      <c r="O142" s="31"/>
      <c r="P142" s="31"/>
      <c r="Q142" s="31"/>
      <c r="R142" s="31"/>
      <c r="S142" s="31"/>
      <c r="T142" s="31"/>
      <c r="U142" s="31"/>
      <c r="V142" s="32"/>
      <c r="W142" s="57"/>
      <c r="X142" s="32"/>
      <c r="Y142" s="57"/>
      <c r="Z142" s="32"/>
    </row>
    <row r="143" spans="1:26" ht="22.5" customHeight="1" x14ac:dyDescent="0.25">
      <c r="A143" s="15">
        <f t="shared" si="3"/>
        <v>120</v>
      </c>
      <c r="B143" s="47" t="s">
        <v>131</v>
      </c>
      <c r="C143" s="31"/>
      <c r="D143" s="31"/>
      <c r="E143" s="31"/>
      <c r="F143" s="31"/>
      <c r="G143" s="31"/>
      <c r="H143" s="31"/>
      <c r="I143" s="31"/>
      <c r="J143" s="31"/>
      <c r="K143" s="31"/>
      <c r="L143" s="32"/>
      <c r="M143" s="36"/>
      <c r="N143" s="31"/>
      <c r="O143" s="31"/>
      <c r="P143" s="31"/>
      <c r="Q143" s="31"/>
      <c r="R143" s="31"/>
      <c r="S143" s="31"/>
      <c r="T143" s="31"/>
      <c r="U143" s="31"/>
      <c r="V143" s="32"/>
      <c r="W143" s="95" t="s">
        <v>128</v>
      </c>
      <c r="X143" s="38"/>
      <c r="Y143" s="48"/>
      <c r="Z143" s="32"/>
    </row>
    <row r="144" spans="1:26" ht="22.5" customHeight="1" x14ac:dyDescent="0.25">
      <c r="A144" s="15">
        <f t="shared" si="3"/>
        <v>121</v>
      </c>
      <c r="B144" s="47" t="s">
        <v>132</v>
      </c>
      <c r="C144" s="31"/>
      <c r="D144" s="31"/>
      <c r="E144" s="31"/>
      <c r="F144" s="31"/>
      <c r="G144" s="31"/>
      <c r="H144" s="31"/>
      <c r="I144" s="31"/>
      <c r="J144" s="31"/>
      <c r="K144" s="31"/>
      <c r="L144" s="32"/>
      <c r="M144" s="36"/>
      <c r="N144" s="31"/>
      <c r="O144" s="31"/>
      <c r="P144" s="31"/>
      <c r="Q144" s="31"/>
      <c r="R144" s="31"/>
      <c r="S144" s="31"/>
      <c r="T144" s="31"/>
      <c r="U144" s="31"/>
      <c r="V144" s="32"/>
      <c r="W144" s="39"/>
      <c r="X144" s="41"/>
      <c r="Y144" s="48"/>
      <c r="Z144" s="32"/>
    </row>
    <row r="145" spans="1:26" ht="22.5" customHeight="1" x14ac:dyDescent="0.25">
      <c r="A145" s="15">
        <f t="shared" si="3"/>
        <v>122</v>
      </c>
      <c r="B145" s="63" t="s">
        <v>133</v>
      </c>
      <c r="C145" s="31"/>
      <c r="D145" s="31"/>
      <c r="E145" s="31"/>
      <c r="F145" s="31"/>
      <c r="G145" s="31"/>
      <c r="H145" s="31"/>
      <c r="I145" s="31"/>
      <c r="J145" s="31"/>
      <c r="K145" s="31"/>
      <c r="L145" s="32"/>
      <c r="M145" s="87"/>
      <c r="N145" s="31"/>
      <c r="O145" s="31"/>
      <c r="P145" s="31"/>
      <c r="Q145" s="31"/>
      <c r="R145" s="31"/>
      <c r="S145" s="31"/>
      <c r="T145" s="31"/>
      <c r="U145" s="31"/>
      <c r="V145" s="32"/>
      <c r="W145" s="57"/>
      <c r="X145" s="32"/>
      <c r="Y145" s="57"/>
      <c r="Z145" s="32"/>
    </row>
    <row r="146" spans="1:26" ht="22.5" customHeight="1" x14ac:dyDescent="0.25">
      <c r="A146" s="15">
        <f t="shared" si="3"/>
        <v>123</v>
      </c>
      <c r="B146" s="47" t="s">
        <v>134</v>
      </c>
      <c r="C146" s="31"/>
      <c r="D146" s="31"/>
      <c r="E146" s="31"/>
      <c r="F146" s="31"/>
      <c r="G146" s="31"/>
      <c r="H146" s="31"/>
      <c r="I146" s="31"/>
      <c r="J146" s="31"/>
      <c r="K146" s="31"/>
      <c r="L146" s="32"/>
      <c r="M146" s="36"/>
      <c r="N146" s="31"/>
      <c r="O146" s="31"/>
      <c r="P146" s="31"/>
      <c r="Q146" s="31"/>
      <c r="R146" s="31"/>
      <c r="S146" s="31"/>
      <c r="T146" s="31"/>
      <c r="U146" s="31"/>
      <c r="V146" s="32"/>
      <c r="W146" s="95"/>
      <c r="X146" s="32"/>
      <c r="Y146" s="48"/>
      <c r="Z146" s="32"/>
    </row>
    <row r="147" spans="1:26" ht="22.5" customHeight="1" x14ac:dyDescent="0.25">
      <c r="A147" s="15">
        <f t="shared" si="3"/>
        <v>124</v>
      </c>
      <c r="B147" s="47" t="s">
        <v>135</v>
      </c>
      <c r="C147" s="31"/>
      <c r="D147" s="31"/>
      <c r="E147" s="31"/>
      <c r="F147" s="31"/>
      <c r="G147" s="31"/>
      <c r="H147" s="31"/>
      <c r="I147" s="31"/>
      <c r="J147" s="31"/>
      <c r="K147" s="31"/>
      <c r="L147" s="32"/>
      <c r="M147" s="36"/>
      <c r="N147" s="31"/>
      <c r="O147" s="31"/>
      <c r="P147" s="31"/>
      <c r="Q147" s="31"/>
      <c r="R147" s="31"/>
      <c r="S147" s="31"/>
      <c r="T147" s="31"/>
      <c r="U147" s="31"/>
      <c r="V147" s="32"/>
      <c r="W147" s="95"/>
      <c r="X147" s="32"/>
      <c r="Y147" s="48"/>
      <c r="Z147" s="32"/>
    </row>
    <row r="148" spans="1:26" ht="22.5" customHeight="1" x14ac:dyDescent="0.25">
      <c r="A148" s="75" t="s">
        <v>136</v>
      </c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2"/>
    </row>
    <row r="149" spans="1:26" ht="22.5" customHeight="1" x14ac:dyDescent="0.25">
      <c r="A149" s="104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43"/>
    </row>
    <row r="150" spans="1:26" ht="22.5" customHeight="1" x14ac:dyDescent="0.25">
      <c r="A150" s="49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43"/>
    </row>
    <row r="151" spans="1:26" ht="22.5" customHeight="1" x14ac:dyDescent="0.25">
      <c r="A151" s="49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43"/>
    </row>
    <row r="152" spans="1:26" ht="22.5" customHeight="1" x14ac:dyDescent="0.25">
      <c r="A152" s="49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43"/>
    </row>
    <row r="153" spans="1:26" ht="22.5" customHeight="1" x14ac:dyDescent="0.25">
      <c r="A153" s="49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43"/>
    </row>
    <row r="154" spans="1:26" ht="22.5" customHeight="1" x14ac:dyDescent="0.25">
      <c r="A154" s="39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1"/>
    </row>
    <row r="155" spans="1:26" ht="22.5" customHeight="1" x14ac:dyDescent="0.25">
      <c r="A155" s="75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2"/>
    </row>
    <row r="156" spans="1:26" ht="22.5" customHeight="1" x14ac:dyDescent="0.25">
      <c r="A156" s="90" t="s">
        <v>137</v>
      </c>
      <c r="B156" s="37"/>
      <c r="C156" s="37"/>
      <c r="D156" s="37"/>
      <c r="E156" s="37"/>
      <c r="F156" s="38"/>
      <c r="G156" s="80"/>
      <c r="H156" s="37"/>
      <c r="I156" s="37"/>
      <c r="J156" s="37"/>
      <c r="K156" s="37"/>
      <c r="L156" s="37"/>
      <c r="M156" s="38"/>
      <c r="N156" s="24"/>
      <c r="O156" s="25"/>
      <c r="P156" s="25"/>
      <c r="Q156" s="25"/>
      <c r="R156" s="25"/>
      <c r="S156" s="25"/>
      <c r="T156" s="26"/>
      <c r="U156" s="26"/>
      <c r="V156" s="26"/>
      <c r="W156" s="26"/>
      <c r="X156" s="26"/>
      <c r="Y156" s="26"/>
      <c r="Z156" s="26"/>
    </row>
    <row r="157" spans="1:26" ht="22.5" customHeight="1" x14ac:dyDescent="0.25">
      <c r="A157" s="39"/>
      <c r="B157" s="40"/>
      <c r="C157" s="40"/>
      <c r="D157" s="40"/>
      <c r="E157" s="40"/>
      <c r="F157" s="41"/>
      <c r="G157" s="39"/>
      <c r="H157" s="40"/>
      <c r="I157" s="40"/>
      <c r="J157" s="40"/>
      <c r="K157" s="40"/>
      <c r="L157" s="40"/>
      <c r="M157" s="41"/>
      <c r="N157" s="27"/>
      <c r="O157" s="2"/>
      <c r="P157" s="2"/>
      <c r="Q157" s="2"/>
      <c r="R157" s="2"/>
      <c r="S157" s="2"/>
      <c r="T157" s="28"/>
      <c r="U157" s="28"/>
      <c r="V157" s="28"/>
      <c r="W157" s="28"/>
      <c r="X157" s="28"/>
      <c r="Y157" s="28"/>
      <c r="Z157" s="28"/>
    </row>
    <row r="158" spans="1:26" ht="22.5" customHeight="1" x14ac:dyDescent="0.25">
      <c r="A158" s="90" t="s">
        <v>14</v>
      </c>
      <c r="B158" s="31"/>
      <c r="C158" s="31"/>
      <c r="D158" s="31"/>
      <c r="E158" s="31"/>
      <c r="F158" s="32"/>
      <c r="G158" s="100">
        <f>G156</f>
        <v>0</v>
      </c>
      <c r="H158" s="31"/>
      <c r="I158" s="31"/>
      <c r="J158" s="31"/>
      <c r="K158" s="31"/>
      <c r="L158" s="31"/>
      <c r="M158" s="32"/>
      <c r="N158" s="27"/>
      <c r="O158" s="2"/>
      <c r="P158" s="2"/>
      <c r="Q158" s="2"/>
      <c r="R158" s="2"/>
      <c r="S158" s="2"/>
    </row>
    <row r="159" spans="1:26" ht="22.5" customHeight="1" x14ac:dyDescent="0.25">
      <c r="A159" s="90" t="s">
        <v>13</v>
      </c>
      <c r="B159" s="31"/>
      <c r="C159" s="31"/>
      <c r="D159" s="31"/>
      <c r="E159" s="31"/>
      <c r="F159" s="32"/>
      <c r="G159" s="71"/>
      <c r="H159" s="31"/>
      <c r="I159" s="31"/>
      <c r="J159" s="31"/>
      <c r="K159" s="31"/>
      <c r="L159" s="31"/>
      <c r="M159" s="32"/>
      <c r="N159" s="27"/>
      <c r="O159" s="2"/>
      <c r="P159" s="2"/>
      <c r="Q159" s="2"/>
      <c r="R159" s="2"/>
      <c r="S159" s="2"/>
    </row>
    <row r="160" spans="1:26" ht="22.5" customHeight="1" x14ac:dyDescent="0.25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22.5" customHeight="1" x14ac:dyDescent="0.25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22.5" customHeight="1" x14ac:dyDescent="0.25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22.5" customHeight="1" x14ac:dyDescent="0.25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22.5" customHeight="1" x14ac:dyDescent="0.25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22.5" customHeight="1" x14ac:dyDescent="0.2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22.5" customHeight="1" x14ac:dyDescent="0.25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22.5" customHeight="1" x14ac:dyDescent="0.25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22.5" customHeight="1" x14ac:dyDescent="0.25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22.5" customHeight="1" x14ac:dyDescent="0.25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22.5" customHeight="1" x14ac:dyDescent="0.25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22.5" customHeight="1" x14ac:dyDescent="0.25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22.5" customHeight="1" x14ac:dyDescent="0.25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</sheetData>
  <mergeCells count="421">
    <mergeCell ref="A149:Z154"/>
    <mergeCell ref="W36:X36"/>
    <mergeCell ref="K60:L60"/>
    <mergeCell ref="B105:L105"/>
    <mergeCell ref="Y132:Z134"/>
    <mergeCell ref="B135:Z135"/>
    <mergeCell ref="M46:M49"/>
    <mergeCell ref="W31:X31"/>
    <mergeCell ref="Y100:Z101"/>
    <mergeCell ref="B50:J53"/>
    <mergeCell ref="Y31:Z31"/>
    <mergeCell ref="W125:X125"/>
    <mergeCell ref="K136:L136"/>
    <mergeCell ref="Y102:Z103"/>
    <mergeCell ref="W120:X120"/>
    <mergeCell ref="W107:X107"/>
    <mergeCell ref="W57:X57"/>
    <mergeCell ref="M82:V83"/>
    <mergeCell ref="B75:L75"/>
    <mergeCell ref="W49:X49"/>
    <mergeCell ref="B62:L62"/>
    <mergeCell ref="K108:L108"/>
    <mergeCell ref="B65:Z65"/>
    <mergeCell ref="Y44:Z44"/>
    <mergeCell ref="A159:F159"/>
    <mergeCell ref="O54:O57"/>
    <mergeCell ref="B126:J131"/>
    <mergeCell ref="B106:Z106"/>
    <mergeCell ref="B101:L101"/>
    <mergeCell ref="M68:V68"/>
    <mergeCell ref="P63:V63"/>
    <mergeCell ref="M67:V67"/>
    <mergeCell ref="T9:Z9"/>
    <mergeCell ref="B104:L104"/>
    <mergeCell ref="B61:Z61"/>
    <mergeCell ref="M50:M51"/>
    <mergeCell ref="N54:N57"/>
    <mergeCell ref="Y84:Z85"/>
    <mergeCell ref="N41:N44"/>
    <mergeCell ref="K133:L133"/>
    <mergeCell ref="Y86:Z87"/>
    <mergeCell ref="B66:L66"/>
    <mergeCell ref="P50:V53"/>
    <mergeCell ref="M94:V95"/>
    <mergeCell ref="K51:L51"/>
    <mergeCell ref="K122:L122"/>
    <mergeCell ref="W79:X79"/>
    <mergeCell ref="W54:X54"/>
    <mergeCell ref="A155:Z155"/>
    <mergeCell ref="B91:L91"/>
    <mergeCell ref="W40:X40"/>
    <mergeCell ref="W96:X97"/>
    <mergeCell ref="Y96:Z97"/>
    <mergeCell ref="A158:F158"/>
    <mergeCell ref="M24:V24"/>
    <mergeCell ref="B93:L93"/>
    <mergeCell ref="Y58:Z58"/>
    <mergeCell ref="M66:V66"/>
    <mergeCell ref="B86:L86"/>
    <mergeCell ref="K138:L138"/>
    <mergeCell ref="Y104:Z105"/>
    <mergeCell ref="G158:M158"/>
    <mergeCell ref="Y79:Z79"/>
    <mergeCell ref="B67:L67"/>
    <mergeCell ref="W41:X41"/>
    <mergeCell ref="W56:X56"/>
    <mergeCell ref="B69:L69"/>
    <mergeCell ref="M37:M40"/>
    <mergeCell ref="W145:X145"/>
    <mergeCell ref="Y145:Z145"/>
    <mergeCell ref="W147:X147"/>
    <mergeCell ref="Y76:Z76"/>
    <mergeCell ref="N9:S9"/>
    <mergeCell ref="B98:L98"/>
    <mergeCell ref="Y60:Z60"/>
    <mergeCell ref="K59:L59"/>
    <mergeCell ref="K130:L130"/>
    <mergeCell ref="K117:L117"/>
    <mergeCell ref="Y69:Z73"/>
    <mergeCell ref="B139:J141"/>
    <mergeCell ref="K132:L132"/>
    <mergeCell ref="K48:L48"/>
    <mergeCell ref="G18:M18"/>
    <mergeCell ref="K125:L125"/>
    <mergeCell ref="K112:L112"/>
    <mergeCell ref="W38:X38"/>
    <mergeCell ref="M136:V138"/>
    <mergeCell ref="K127:L127"/>
    <mergeCell ref="A9:F9"/>
    <mergeCell ref="Q16:S16"/>
    <mergeCell ref="A11:F11"/>
    <mergeCell ref="M92:V93"/>
    <mergeCell ref="M77:V77"/>
    <mergeCell ref="B37:J40"/>
    <mergeCell ref="W34:X34"/>
    <mergeCell ref="B136:J138"/>
    <mergeCell ref="W146:X146"/>
    <mergeCell ref="Y146:Z146"/>
    <mergeCell ref="K114:L114"/>
    <mergeCell ref="M54:M57"/>
    <mergeCell ref="W90:X91"/>
    <mergeCell ref="Y90:Z91"/>
    <mergeCell ref="B96:L96"/>
    <mergeCell ref="B45:Z45"/>
    <mergeCell ref="W98:X99"/>
    <mergeCell ref="Y113:Z115"/>
    <mergeCell ref="D60:J60"/>
    <mergeCell ref="M143:V143"/>
    <mergeCell ref="W75:X75"/>
    <mergeCell ref="B46:J49"/>
    <mergeCell ref="B88:L88"/>
    <mergeCell ref="W62:X62"/>
    <mergeCell ref="B82:L82"/>
    <mergeCell ref="M78:V78"/>
    <mergeCell ref="B146:L146"/>
    <mergeCell ref="W52:X52"/>
    <mergeCell ref="G10:M10"/>
    <mergeCell ref="W143:X144"/>
    <mergeCell ref="B83:L83"/>
    <mergeCell ref="B143:L143"/>
    <mergeCell ref="Y57:Z57"/>
    <mergeCell ref="Y88:Z89"/>
    <mergeCell ref="Y23:Z23"/>
    <mergeCell ref="M117:V125"/>
    <mergeCell ref="B85:L85"/>
    <mergeCell ref="K137:L137"/>
    <mergeCell ref="D58:J58"/>
    <mergeCell ref="P54:V57"/>
    <mergeCell ref="K139:L139"/>
    <mergeCell ref="G21:M21"/>
    <mergeCell ref="T14:Z14"/>
    <mergeCell ref="T13:Z13"/>
    <mergeCell ref="A12:F12"/>
    <mergeCell ref="A14:F14"/>
    <mergeCell ref="W39:X39"/>
    <mergeCell ref="Y25:Z29"/>
    <mergeCell ref="K38:L38"/>
    <mergeCell ref="D17:F17"/>
    <mergeCell ref="W133:X133"/>
    <mergeCell ref="Y62:Z62"/>
    <mergeCell ref="W127:X127"/>
    <mergeCell ref="Y54:Z54"/>
    <mergeCell ref="W64:X64"/>
    <mergeCell ref="Y64:Z64"/>
    <mergeCell ref="B77:L77"/>
    <mergeCell ref="W51:X51"/>
    <mergeCell ref="Y51:Z51"/>
    <mergeCell ref="B32:Z32"/>
    <mergeCell ref="Y126:Z131"/>
    <mergeCell ref="W122:X122"/>
    <mergeCell ref="O46:O49"/>
    <mergeCell ref="M107:V109"/>
    <mergeCell ref="B24:L24"/>
    <mergeCell ref="Y33:Z33"/>
    <mergeCell ref="B95:L95"/>
    <mergeCell ref="M52:M53"/>
    <mergeCell ref="B89:L89"/>
    <mergeCell ref="Y107:Z109"/>
    <mergeCell ref="Y82:Z83"/>
    <mergeCell ref="Y75:Z75"/>
    <mergeCell ref="B97:L97"/>
    <mergeCell ref="B113:J115"/>
    <mergeCell ref="W130:X130"/>
    <mergeCell ref="M132:V134"/>
    <mergeCell ref="M100:V101"/>
    <mergeCell ref="K141:L141"/>
    <mergeCell ref="B64:L64"/>
    <mergeCell ref="M31:V31"/>
    <mergeCell ref="W67:X67"/>
    <mergeCell ref="K37:L37"/>
    <mergeCell ref="W132:X132"/>
    <mergeCell ref="W119:X119"/>
    <mergeCell ref="M102:V103"/>
    <mergeCell ref="K118:L118"/>
    <mergeCell ref="W94:X95"/>
    <mergeCell ref="K134:L134"/>
    <mergeCell ref="W110:X110"/>
    <mergeCell ref="K126:L126"/>
    <mergeCell ref="O33:O36"/>
    <mergeCell ref="K109:L109"/>
    <mergeCell ref="K47:L47"/>
    <mergeCell ref="W102:X103"/>
    <mergeCell ref="O41:O44"/>
    <mergeCell ref="K46:L46"/>
    <mergeCell ref="K40:L40"/>
    <mergeCell ref="A1:Z6"/>
    <mergeCell ref="W112:X112"/>
    <mergeCell ref="B76:L76"/>
    <mergeCell ref="A156:F157"/>
    <mergeCell ref="K49:L49"/>
    <mergeCell ref="M145:V145"/>
    <mergeCell ref="Y56:Z56"/>
    <mergeCell ref="O37:O40"/>
    <mergeCell ref="K113:L113"/>
    <mergeCell ref="M76:V76"/>
    <mergeCell ref="M147:V147"/>
    <mergeCell ref="P58:V58"/>
    <mergeCell ref="W114:X114"/>
    <mergeCell ref="G12:M12"/>
    <mergeCell ref="W136:X141"/>
    <mergeCell ref="B23:L23"/>
    <mergeCell ref="Y136:Z141"/>
    <mergeCell ref="Y59:Z59"/>
    <mergeCell ref="Y34:Z34"/>
    <mergeCell ref="W43:X43"/>
    <mergeCell ref="K115:L115"/>
    <mergeCell ref="B87:L87"/>
    <mergeCell ref="K42:L42"/>
    <mergeCell ref="Y49:Z49"/>
    <mergeCell ref="M142:V142"/>
    <mergeCell ref="A10:F10"/>
    <mergeCell ref="B26:L29"/>
    <mergeCell ref="Y40:Z40"/>
    <mergeCell ref="W134:X134"/>
    <mergeCell ref="M79:V79"/>
    <mergeCell ref="W121:X121"/>
    <mergeCell ref="Y80:Z80"/>
    <mergeCell ref="M144:V144"/>
    <mergeCell ref="M104:V105"/>
    <mergeCell ref="W111:X111"/>
    <mergeCell ref="K34:L34"/>
    <mergeCell ref="W33:X33"/>
    <mergeCell ref="T16:Z16"/>
    <mergeCell ref="B74:Z74"/>
    <mergeCell ref="K36:L36"/>
    <mergeCell ref="A21:F21"/>
    <mergeCell ref="W35:X35"/>
    <mergeCell ref="B54:J57"/>
    <mergeCell ref="Y35:Z35"/>
    <mergeCell ref="M84:V85"/>
    <mergeCell ref="D59:J59"/>
    <mergeCell ref="B41:J44"/>
    <mergeCell ref="K140:L140"/>
    <mergeCell ref="Q13:S13"/>
    <mergeCell ref="M113:V115"/>
    <mergeCell ref="Y98:Z99"/>
    <mergeCell ref="M69:V73"/>
    <mergeCell ref="K124:L124"/>
    <mergeCell ref="W44:X44"/>
    <mergeCell ref="P41:V44"/>
    <mergeCell ref="B33:J36"/>
    <mergeCell ref="W108:X108"/>
    <mergeCell ref="N46:N49"/>
    <mergeCell ref="W47:X47"/>
    <mergeCell ref="Y110:Z112"/>
    <mergeCell ref="Y78:Z78"/>
    <mergeCell ref="W66:X66"/>
    <mergeCell ref="M86:V87"/>
    <mergeCell ref="W109:X109"/>
    <mergeCell ref="A16:C19"/>
    <mergeCell ref="P60:V60"/>
    <mergeCell ref="W59:X59"/>
    <mergeCell ref="W46:X46"/>
    <mergeCell ref="W117:X117"/>
    <mergeCell ref="Y46:Z46"/>
    <mergeCell ref="W48:X48"/>
    <mergeCell ref="B68:L68"/>
    <mergeCell ref="G156:M157"/>
    <mergeCell ref="M146:V146"/>
    <mergeCell ref="N10:S10"/>
    <mergeCell ref="K50:L50"/>
    <mergeCell ref="K131:L131"/>
    <mergeCell ref="K58:L58"/>
    <mergeCell ref="W113:X113"/>
    <mergeCell ref="K52:L52"/>
    <mergeCell ref="W115:X115"/>
    <mergeCell ref="W42:X42"/>
    <mergeCell ref="W77:X77"/>
    <mergeCell ref="P33:V36"/>
    <mergeCell ref="K53:L53"/>
    <mergeCell ref="M33:M36"/>
    <mergeCell ref="B63:L63"/>
    <mergeCell ref="W37:X37"/>
    <mergeCell ref="B116:Z116"/>
    <mergeCell ref="Y143:Z143"/>
    <mergeCell ref="B90:L90"/>
    <mergeCell ref="M88:V89"/>
    <mergeCell ref="K55:L55"/>
    <mergeCell ref="M23:V23"/>
    <mergeCell ref="P62:V62"/>
    <mergeCell ref="P46:V49"/>
    <mergeCell ref="M139:V141"/>
    <mergeCell ref="Y63:Z63"/>
    <mergeCell ref="K123:L123"/>
    <mergeCell ref="A7:M8"/>
    <mergeCell ref="K110:L110"/>
    <mergeCell ref="G159:M159"/>
    <mergeCell ref="Y67:Z67"/>
    <mergeCell ref="W76:X76"/>
    <mergeCell ref="B145:L145"/>
    <mergeCell ref="B117:J125"/>
    <mergeCell ref="B147:L147"/>
    <mergeCell ref="P59:V59"/>
    <mergeCell ref="K39:L39"/>
    <mergeCell ref="D19:F19"/>
    <mergeCell ref="M126:V131"/>
    <mergeCell ref="W23:X23"/>
    <mergeCell ref="W100:X101"/>
    <mergeCell ref="Y38:Z38"/>
    <mergeCell ref="Y147:Z147"/>
    <mergeCell ref="B100:L100"/>
    <mergeCell ref="A148:Z148"/>
    <mergeCell ref="G20:M20"/>
    <mergeCell ref="W24:X24"/>
    <mergeCell ref="Y24:Z24"/>
    <mergeCell ref="B144:L144"/>
    <mergeCell ref="W68:X68"/>
    <mergeCell ref="N11:S12"/>
    <mergeCell ref="Y68:Z68"/>
    <mergeCell ref="Y55:Z55"/>
    <mergeCell ref="K54:L54"/>
    <mergeCell ref="D16:F16"/>
    <mergeCell ref="B30:Z30"/>
    <mergeCell ref="B107:J109"/>
    <mergeCell ref="D18:F18"/>
    <mergeCell ref="K44:L44"/>
    <mergeCell ref="B58:C60"/>
    <mergeCell ref="O50:O53"/>
    <mergeCell ref="W84:X85"/>
    <mergeCell ref="Y144:Z144"/>
    <mergeCell ref="G17:M17"/>
    <mergeCell ref="T11:Z12"/>
    <mergeCell ref="Y37:Z37"/>
    <mergeCell ref="B110:J112"/>
    <mergeCell ref="B99:L99"/>
    <mergeCell ref="W92:X93"/>
    <mergeCell ref="G19:M19"/>
    <mergeCell ref="B92:L92"/>
    <mergeCell ref="Y41:Z41"/>
    <mergeCell ref="W142:X142"/>
    <mergeCell ref="W80:X80"/>
    <mergeCell ref="Y142:Z142"/>
    <mergeCell ref="N33:N36"/>
    <mergeCell ref="W55:X55"/>
    <mergeCell ref="W86:X87"/>
    <mergeCell ref="G9:M9"/>
    <mergeCell ref="B132:J134"/>
    <mergeCell ref="K41:L41"/>
    <mergeCell ref="G11:M11"/>
    <mergeCell ref="W88:X89"/>
    <mergeCell ref="K56:L56"/>
    <mergeCell ref="B81:Z81"/>
    <mergeCell ref="K43:L43"/>
    <mergeCell ref="K120:L120"/>
    <mergeCell ref="K107:L107"/>
    <mergeCell ref="B84:L84"/>
    <mergeCell ref="M41:M42"/>
    <mergeCell ref="W58:X58"/>
    <mergeCell ref="P37:V40"/>
    <mergeCell ref="M43:M44"/>
    <mergeCell ref="W60:X60"/>
    <mergeCell ref="B142:L142"/>
    <mergeCell ref="B80:L80"/>
    <mergeCell ref="T10:Z10"/>
    <mergeCell ref="A15:F15"/>
    <mergeCell ref="M110:V112"/>
    <mergeCell ref="M75:V75"/>
    <mergeCell ref="M96:V97"/>
    <mergeCell ref="M80:V80"/>
    <mergeCell ref="N7:Z8"/>
    <mergeCell ref="Y42:Z42"/>
    <mergeCell ref="W78:X78"/>
    <mergeCell ref="B25:L25"/>
    <mergeCell ref="W69:X73"/>
    <mergeCell ref="G16:M16"/>
    <mergeCell ref="Y66:Z66"/>
    <mergeCell ref="B79:L79"/>
    <mergeCell ref="W53:X53"/>
    <mergeCell ref="B70:L73"/>
    <mergeCell ref="Y53:Z53"/>
    <mergeCell ref="K57:L57"/>
    <mergeCell ref="B94:L94"/>
    <mergeCell ref="W104:X105"/>
    <mergeCell ref="G14:M14"/>
    <mergeCell ref="Y43:Z43"/>
    <mergeCell ref="N50:N53"/>
    <mergeCell ref="B31:L31"/>
    <mergeCell ref="W129:X129"/>
    <mergeCell ref="W63:X63"/>
    <mergeCell ref="W123:X123"/>
    <mergeCell ref="W50:X50"/>
    <mergeCell ref="A20:F20"/>
    <mergeCell ref="Y50:Z50"/>
    <mergeCell ref="W131:X131"/>
    <mergeCell ref="A13:F13"/>
    <mergeCell ref="B78:L78"/>
    <mergeCell ref="Y117:Z125"/>
    <mergeCell ref="Y52:Z52"/>
    <mergeCell ref="W124:X124"/>
    <mergeCell ref="W118:X118"/>
    <mergeCell ref="K128:L128"/>
    <mergeCell ref="K121:L121"/>
    <mergeCell ref="B102:L102"/>
    <mergeCell ref="K129:L129"/>
    <mergeCell ref="Y77:Z77"/>
    <mergeCell ref="M90:V91"/>
    <mergeCell ref="W25:X29"/>
    <mergeCell ref="K119:L119"/>
    <mergeCell ref="P64:V64"/>
    <mergeCell ref="T15:Z15"/>
    <mergeCell ref="B103:L103"/>
    <mergeCell ref="Q14:S14"/>
    <mergeCell ref="Y47:Z47"/>
    <mergeCell ref="K33:L33"/>
    <mergeCell ref="W128:X128"/>
    <mergeCell ref="M98:V99"/>
    <mergeCell ref="N37:N40"/>
    <mergeCell ref="K35:L35"/>
    <mergeCell ref="Q15:S15"/>
    <mergeCell ref="W82:X83"/>
    <mergeCell ref="W126:X126"/>
    <mergeCell ref="Y48:Z48"/>
    <mergeCell ref="Y36:Z36"/>
    <mergeCell ref="N13:P16"/>
    <mergeCell ref="Y92:Z93"/>
    <mergeCell ref="Y94:Z95"/>
    <mergeCell ref="G13:M13"/>
    <mergeCell ref="G15:M15"/>
    <mergeCell ref="M25:V29"/>
    <mergeCell ref="Y39:Z39"/>
    <mergeCell ref="K111:L111"/>
  </mergeCells>
  <pageMargins left="0.5" right="0.5" top="0.75" bottom="0.75" header="0.3" footer="0.3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TB3-EL-TC-2001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Heron, Chris</cp:lastModifiedBy>
  <dcterms:created xsi:type="dcterms:W3CDTF">2026-03-17T02:59:38Z</dcterms:created>
  <dcterms:modified xsi:type="dcterms:W3CDTF">2026-03-29T01:24:47Z</dcterms:modified>
</cp:coreProperties>
</file>