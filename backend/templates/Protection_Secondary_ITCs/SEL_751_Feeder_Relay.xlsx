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eron\Documents\itc-generator\itc-generator\backend\templates\Protection_Secondary_ITCs\"/>
    </mc:Choice>
  </mc:AlternateContent>
  <xr:revisionPtr revIDLastSave="0" documentId="13_ncr:1_{8F76A956-CA9B-4E2F-93D7-CA71A065F1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L 751 Feeder Relay" sheetId="1" r:id="rId1"/>
  </sheets>
  <definedNames>
    <definedName name="_xlnm.Print_Area" localSheetId="0">'SEL 751 Feeder Relay'!$A$1:$Z$101</definedName>
    <definedName name="_xlnm.Print_Titles" localSheetId="0">'SEL 751 Feeder Relay'!$23:$23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9" i="1" l="1"/>
  <c r="P73" i="1"/>
  <c r="P72" i="1"/>
  <c r="P62" i="1"/>
  <c r="M61" i="1"/>
  <c r="P59" i="1" s="1"/>
  <c r="P50" i="1"/>
  <c r="M48" i="1"/>
  <c r="P4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Box Sync\Wind Farm ITP Development\Title Page.xlsx" odcFile="C:\Users\dbruce\Documents\My Data Sources\Title Page Data$.od.odc" keepAlive="1" name="Title Page Data$.od" type="5" refreshedVersion="0" new="1" background="1">
    <dbPr connection="Provider=Microsoft.ACE.OLEDB.12.0;Password=&quot;&quot;;User ID=Admin;Data Source=C:\Box Sync\Wind Farm ITP Development\Title Page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Data$" commandType="3"/>
  </connection>
</connections>
</file>

<file path=xl/sharedStrings.xml><?xml version="1.0" encoding="utf-8"?>
<sst xmlns="http://schemas.openxmlformats.org/spreadsheetml/2006/main" count="134" uniqueCount="88">
  <si>
    <t>CPP Project Name:</t>
  </si>
  <si>
    <t>CPP Job No:</t>
  </si>
  <si>
    <t>Bay / Cubicle / Panel Name:</t>
  </si>
  <si>
    <t>Site Location:</t>
  </si>
  <si>
    <t>Position:</t>
  </si>
  <si>
    <t>Date:</t>
  </si>
  <si>
    <t>Checked by:</t>
  </si>
  <si>
    <t>Name:</t>
  </si>
  <si>
    <t>Signature:</t>
  </si>
  <si>
    <t>Tested by:</t>
  </si>
  <si>
    <t>Test Commencement Date:</t>
  </si>
  <si>
    <t>LINE No:</t>
  </si>
  <si>
    <t>Wiring</t>
  </si>
  <si>
    <t>As per schematics</t>
  </si>
  <si>
    <t>+ve to -ve resistance</t>
  </si>
  <si>
    <t>'Overload' resistance is measured between all circuits</t>
  </si>
  <si>
    <t>NOTES, COMMENTS OR OTHER INFORMATION</t>
  </si>
  <si>
    <t>Test Category / Function</t>
  </si>
  <si>
    <t>Acceptance Criteria</t>
  </si>
  <si>
    <t>Circuit Breaker Fail</t>
  </si>
  <si>
    <t>Wire remains terminated after a firm tug</t>
  </si>
  <si>
    <t>Result / Notes</t>
  </si>
  <si>
    <t>±</t>
  </si>
  <si>
    <t>Timing Characteristic</t>
  </si>
  <si>
    <t>Operate Time</t>
  </si>
  <si>
    <t>Logic</t>
  </si>
  <si>
    <t>Other Settings</t>
  </si>
  <si>
    <t>Correct as per logic drawing</t>
  </si>
  <si>
    <t>Matches:
-Purchase Order
-Functional Design Specification</t>
  </si>
  <si>
    <t>ms</t>
  </si>
  <si>
    <t>Metering</t>
  </si>
  <si>
    <t>Relay metering matches test set output</t>
  </si>
  <si>
    <t>Phase Overcurrent</t>
  </si>
  <si>
    <t>IDMT Pickup</t>
  </si>
  <si>
    <t>High-Set Pickup</t>
  </si>
  <si>
    <t>A-B</t>
  </si>
  <si>
    <t>B-C</t>
  </si>
  <si>
    <t>C-A</t>
  </si>
  <si>
    <t>A-B-C</t>
  </si>
  <si>
    <t>A-N</t>
  </si>
  <si>
    <t>B-N</t>
  </si>
  <si>
    <t>C-N</t>
  </si>
  <si>
    <t>Additional Tests</t>
  </si>
  <si>
    <t>Consolidated Power Projects
Project Details</t>
  </si>
  <si>
    <t>Client
Project Details</t>
  </si>
  <si>
    <t>Client Project Title:</t>
  </si>
  <si>
    <t>Link and terminal labels</t>
  </si>
  <si>
    <t>Internal panel wiring</t>
  </si>
  <si>
    <t>CT wiring pull test</t>
  </si>
  <si>
    <t>As per schematics
(Green-line)</t>
  </si>
  <si>
    <t>DC supplies</t>
  </si>
  <si>
    <t>Free of short circuits</t>
  </si>
  <si>
    <t>Individual MCB circuits are independent</t>
  </si>
  <si>
    <t>Correct polarity at all MCBs</t>
  </si>
  <si>
    <t>Acceptance criteria derived from relay manual</t>
  </si>
  <si>
    <t>Expected Time</t>
  </si>
  <si>
    <t>LEDs</t>
  </si>
  <si>
    <t>ITP Completed (name):
(CPP Project Commissioning Officer)</t>
  </si>
  <si>
    <t>Current Check Pickup Phase</t>
  </si>
  <si>
    <t>Current Check Pickup Ground</t>
  </si>
  <si>
    <t xml:space="preserve">High-Set Pickup </t>
  </si>
  <si>
    <t>Client                Checked by:</t>
  </si>
  <si>
    <t>Panel Construction</t>
  </si>
  <si>
    <t>Door layout and labelling</t>
  </si>
  <si>
    <t>As per 'Front Panel Layout' drawing</t>
  </si>
  <si>
    <t>Interior layout and labelling</t>
  </si>
  <si>
    <t>As per 'Back Panel Layout' drawing</t>
  </si>
  <si>
    <t>Panel earth</t>
  </si>
  <si>
    <t>As per Earthing Single Line Diagram</t>
  </si>
  <si>
    <t>Fuse / MCB ratings</t>
  </si>
  <si>
    <t>Visual inspection</t>
  </si>
  <si>
    <t>No apparent damage</t>
  </si>
  <si>
    <t>ITP Prepared by:</t>
  </si>
  <si>
    <t>Neutral Overcurrent</t>
  </si>
  <si>
    <t>Neg Seq Overcurrent</t>
  </si>
  <si>
    <t>3I2</t>
  </si>
  <si>
    <t>Neg Seq Pickup</t>
  </si>
  <si>
    <t>Neg Seq timing</t>
  </si>
  <si>
    <t>1% or 10ms (Greater of the two)</t>
  </si>
  <si>
    <t xml:space="preserve">Nameplate Details:
</t>
  </si>
  <si>
    <r>
      <t>x I</t>
    </r>
    <r>
      <rPr>
        <vertAlign val="subscript"/>
        <sz val="8"/>
        <color theme="1"/>
        <rFont val="Montserrat"/>
      </rPr>
      <t>N</t>
    </r>
  </si>
  <si>
    <r>
      <rPr>
        <u/>
        <sz val="8"/>
        <color rgb="FFFF0000"/>
        <rFont val="Montserrat"/>
      </rPr>
      <t>IDMT Element</t>
    </r>
    <r>
      <rPr>
        <sz val="8"/>
        <color rgb="FFFF0000"/>
        <rFont val="Montserrat"/>
      </rPr>
      <t xml:space="preserve">
1% or 10ms (Greater of the two)
</t>
    </r>
    <r>
      <rPr>
        <u/>
        <sz val="8"/>
        <color rgb="FFFF0000"/>
        <rFont val="Montserrat"/>
      </rPr>
      <t>High-Set Element</t>
    </r>
    <r>
      <rPr>
        <sz val="8"/>
        <color rgb="FFFF0000"/>
        <rFont val="Montserrat"/>
      </rPr>
      <t xml:space="preserve">
1% or 10ms (Greater of the two) + 30ms</t>
    </r>
  </si>
  <si>
    <t>Client Project Number:</t>
  </si>
  <si>
    <t>Pass/Fail</t>
  </si>
  <si>
    <t>Current and voltage</t>
  </si>
  <si>
    <t>Part No. 
Serial No.</t>
  </si>
  <si>
    <t>'Y' Protection Relay</t>
  </si>
  <si>
    <t>CPP ITC Reference Number: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</si>
</sst>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sz val="18"/>
      <color theme="1"/>
      <name val="Rastanty Cortez"/>
    </font>
    <font>
      <sz val="28"/>
      <color theme="1"/>
      <name val="Montserrat"/>
    </font>
    <font>
      <sz val="8"/>
      <color theme="1"/>
      <name val="Montserrat"/>
    </font>
    <font>
      <b/>
      <sz val="12"/>
      <color theme="0"/>
      <name val="Montserrat"/>
    </font>
    <font>
      <b/>
      <sz val="8"/>
      <color theme="1"/>
      <name val="Montserrat"/>
    </font>
    <font>
      <b/>
      <sz val="8"/>
      <name val="Montserrat"/>
    </font>
    <font>
      <b/>
      <sz val="10"/>
      <color theme="1"/>
      <name val="Montserrat"/>
    </font>
    <font>
      <sz val="16"/>
      <color theme="1"/>
      <name val="Montserrat"/>
    </font>
    <font>
      <u/>
      <sz val="10"/>
      <color theme="10"/>
      <name val="Montserrat"/>
    </font>
    <font>
      <sz val="8"/>
      <color rgb="FFFF0000"/>
      <name val="Montserrat"/>
    </font>
    <font>
      <vertAlign val="subscript"/>
      <sz val="8"/>
      <color theme="1"/>
      <name val="Montserrat"/>
    </font>
    <font>
      <u/>
      <sz val="8"/>
      <color rgb="FFFF0000"/>
      <name val="Montserrat"/>
    </font>
    <font>
      <b/>
      <sz val="16"/>
      <name val="Montserrat"/>
    </font>
    <font>
      <u/>
      <sz val="8"/>
      <color theme="10"/>
      <name val="Montserrat"/>
    </font>
    <font>
      <sz val="14"/>
      <color theme="1"/>
      <name val="Rastanty Cortez"/>
    </font>
    <font>
      <sz val="16"/>
      <color theme="1"/>
      <name val="Wingdings"/>
      <charset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theme="0" tint="-4.9989318521683403E-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11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0" fontId="4" fillId="0" borderId="3" xfId="0" quotePrefix="1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 wrapText="1"/>
    </xf>
    <xf numFmtId="0" fontId="4" fillId="0" borderId="5" xfId="0" quotePrefix="1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0" fontId="6" fillId="4" borderId="1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6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6" fillId="4" borderId="9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6" fillId="4" borderId="10" xfId="0" applyFont="1" applyFill="1" applyBorder="1" applyAlignment="1">
      <alignment horizontal="left" vertical="top" wrapText="1"/>
    </xf>
    <xf numFmtId="0" fontId="3" fillId="0" borderId="6" xfId="0" quotePrefix="1" applyFont="1" applyBorder="1" applyAlignment="1">
      <alignment horizontal="left" vertical="center" wrapText="1"/>
    </xf>
    <xf numFmtId="0" fontId="3" fillId="0" borderId="7" xfId="0" quotePrefix="1" applyFont="1" applyBorder="1" applyAlignment="1">
      <alignment horizontal="left" vertical="center" wrapText="1"/>
    </xf>
    <xf numFmtId="0" fontId="3" fillId="0" borderId="8" xfId="0" quotePrefix="1" applyFont="1" applyBorder="1" applyAlignment="1">
      <alignment horizontal="left" vertical="center" wrapText="1"/>
    </xf>
    <xf numFmtId="0" fontId="3" fillId="0" borderId="9" xfId="0" quotePrefix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3" fillId="0" borderId="10" xfId="0" quotePrefix="1" applyFont="1" applyBorder="1" applyAlignment="1">
      <alignment horizontal="left" vertical="center" wrapText="1"/>
    </xf>
    <xf numFmtId="0" fontId="3" fillId="0" borderId="11" xfId="0" quotePrefix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3" fillId="0" borderId="12" xfId="0" quotePrefix="1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4" fontId="4" fillId="0" borderId="3" xfId="0" applyNumberFormat="1" applyFont="1" applyBorder="1" applyAlignment="1" applyProtection="1">
      <alignment horizontal="left" vertical="center" wrapText="1"/>
      <protection locked="0"/>
    </xf>
    <xf numFmtId="14" fontId="4" fillId="0" borderId="4" xfId="0" applyNumberFormat="1" applyFont="1" applyBorder="1" applyAlignment="1" applyProtection="1">
      <alignment horizontal="left" vertical="center" wrapText="1"/>
      <protection locked="0"/>
    </xf>
    <xf numFmtId="14" fontId="4" fillId="0" borderId="5" xfId="0" applyNumberFormat="1" applyFont="1" applyBorder="1" applyAlignment="1" applyProtection="1">
      <alignment horizontal="left" vertical="center" wrapText="1"/>
      <protection locked="0"/>
    </xf>
    <xf numFmtId="14" fontId="4" fillId="0" borderId="2" xfId="0" applyNumberFormat="1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5" fillId="5" borderId="2" xfId="2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left" vertical="center" wrapText="1"/>
    </xf>
    <xf numFmtId="14" fontId="4" fillId="0" borderId="5" xfId="0" applyNumberFormat="1" applyFont="1" applyBorder="1" applyAlignment="1">
      <alignment horizontal="left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8" fillId="4" borderId="3" xfId="0" quotePrefix="1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164" fontId="11" fillId="3" borderId="6" xfId="0" applyNumberFormat="1" applyFont="1" applyFill="1" applyBorder="1" applyAlignment="1">
      <alignment horizontal="center" vertical="center" wrapText="1"/>
    </xf>
    <xf numFmtId="164" fontId="11" fillId="3" borderId="7" xfId="0" applyNumberFormat="1" applyFont="1" applyFill="1" applyBorder="1" applyAlignment="1">
      <alignment horizontal="center" vertical="center" wrapText="1"/>
    </xf>
    <xf numFmtId="164" fontId="11" fillId="3" borderId="8" xfId="0" applyNumberFormat="1" applyFont="1" applyFill="1" applyBorder="1" applyAlignment="1">
      <alignment horizontal="center" vertical="center" wrapText="1"/>
    </xf>
    <xf numFmtId="164" fontId="11" fillId="3" borderId="9" xfId="0" applyNumberFormat="1" applyFont="1" applyFill="1" applyBorder="1" applyAlignment="1">
      <alignment horizontal="center" vertical="center" wrapText="1"/>
    </xf>
    <xf numFmtId="164" fontId="11" fillId="3" borderId="0" xfId="0" applyNumberFormat="1" applyFont="1" applyFill="1" applyAlignment="1">
      <alignment horizontal="center" vertical="center" wrapText="1"/>
    </xf>
    <xf numFmtId="164" fontId="11" fillId="3" borderId="10" xfId="0" applyNumberFormat="1" applyFont="1" applyFill="1" applyBorder="1" applyAlignment="1">
      <alignment horizontal="center" vertical="center" wrapText="1"/>
    </xf>
    <xf numFmtId="164" fontId="11" fillId="3" borderId="11" xfId="0" applyNumberFormat="1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164" fontId="11" fillId="3" borderId="1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2" fontId="11" fillId="3" borderId="9" xfId="0" applyNumberFormat="1" applyFont="1" applyFill="1" applyBorder="1" applyAlignment="1">
      <alignment horizontal="center" vertical="center" wrapText="1"/>
    </xf>
    <xf numFmtId="2" fontId="11" fillId="3" borderId="1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2" fontId="11" fillId="3" borderId="6" xfId="0" applyNumberFormat="1" applyFont="1" applyFill="1" applyBorder="1" applyAlignment="1">
      <alignment horizontal="center" vertical="center" wrapText="1"/>
    </xf>
    <xf numFmtId="2" fontId="11" fillId="3" borderId="7" xfId="0" applyNumberFormat="1" applyFont="1" applyFill="1" applyBorder="1" applyAlignment="1">
      <alignment horizontal="center" vertical="center" wrapText="1"/>
    </xf>
    <xf numFmtId="2" fontId="11" fillId="3" borderId="8" xfId="0" applyNumberFormat="1" applyFont="1" applyFill="1" applyBorder="1" applyAlignment="1">
      <alignment horizontal="center" vertical="center" wrapText="1"/>
    </xf>
    <xf numFmtId="2" fontId="11" fillId="3" borderId="0" xfId="0" applyNumberFormat="1" applyFont="1" applyFill="1" applyAlignment="1">
      <alignment horizontal="center" vertical="center" wrapText="1"/>
    </xf>
    <xf numFmtId="2" fontId="11" fillId="3" borderId="10" xfId="0" applyNumberFormat="1" applyFont="1" applyFill="1" applyBorder="1" applyAlignment="1">
      <alignment horizontal="center" vertical="center" wrapText="1"/>
    </xf>
  </cellXfs>
  <cellStyles count="3">
    <cellStyle name="Hyperlink" xfId="1" builtinId="8" hidden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00"/>
    <pageSetUpPr fitToPage="1"/>
  </sheetPr>
  <dimension ref="A1:Z100"/>
  <sheetViews>
    <sheetView showZeros="0" tabSelected="1" view="pageBreakPreview" zoomScale="115" zoomScaleNormal="100" zoomScaleSheetLayoutView="115" workbookViewId="0">
      <selection activeCell="AE14" sqref="AE14"/>
    </sheetView>
  </sheetViews>
  <sheetFormatPr defaultColWidth="5" defaultRowHeight="22.5" customHeight="1" x14ac:dyDescent="0.35"/>
  <cols>
    <col min="1" max="12" width="5" style="1"/>
    <col min="13" max="13" width="5.7109375" style="1" bestFit="1" customWidth="1"/>
    <col min="14" max="15" width="5" style="1"/>
    <col min="16" max="22" width="5.140625" style="1" customWidth="1"/>
    <col min="23" max="24" width="7.42578125" style="1" customWidth="1"/>
    <col min="25" max="16384" width="5" style="1"/>
  </cols>
  <sheetData>
    <row r="1" spans="1:26" ht="22.5" customHeight="1" x14ac:dyDescent="0.35">
      <c r="A1" s="63"/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5"/>
    </row>
    <row r="2" spans="1:26" ht="22.5" customHeight="1" x14ac:dyDescent="0.3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8"/>
    </row>
    <row r="3" spans="1:26" ht="22.5" customHeight="1" x14ac:dyDescent="0.35">
      <c r="A3" s="66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8"/>
    </row>
    <row r="4" spans="1:26" ht="22.5" customHeight="1" x14ac:dyDescent="0.3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8"/>
    </row>
    <row r="5" spans="1:26" ht="22.5" customHeight="1" x14ac:dyDescent="0.35">
      <c r="A5" s="66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8"/>
    </row>
    <row r="6" spans="1:26" ht="22.5" customHeight="1" x14ac:dyDescent="0.35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1"/>
    </row>
    <row r="7" spans="1:26" ht="22.5" customHeight="1" x14ac:dyDescent="0.35">
      <c r="A7" s="72" t="s">
        <v>43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 t="s">
        <v>44</v>
      </c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ht="22.5" customHeight="1" x14ac:dyDescent="0.35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6" ht="22.5" customHeight="1" x14ac:dyDescent="0.35">
      <c r="A9" s="58" t="s">
        <v>0</v>
      </c>
      <c r="B9" s="58"/>
      <c r="C9" s="58"/>
      <c r="D9" s="58"/>
      <c r="E9" s="58"/>
      <c r="F9" s="58"/>
      <c r="G9" s="73"/>
      <c r="H9" s="73"/>
      <c r="I9" s="73"/>
      <c r="J9" s="73"/>
      <c r="K9" s="73"/>
      <c r="L9" s="73"/>
      <c r="M9" s="73"/>
      <c r="N9" s="58" t="s">
        <v>45</v>
      </c>
      <c r="O9" s="58"/>
      <c r="P9" s="58"/>
      <c r="Q9" s="58"/>
      <c r="R9" s="58"/>
      <c r="S9" s="58"/>
      <c r="T9" s="40"/>
      <c r="U9" s="40"/>
      <c r="V9" s="40"/>
      <c r="W9" s="40"/>
      <c r="X9" s="40"/>
      <c r="Y9" s="40"/>
      <c r="Z9" s="40"/>
    </row>
    <row r="10" spans="1:26" ht="22.5" customHeight="1" x14ac:dyDescent="0.35">
      <c r="A10" s="58" t="s">
        <v>1</v>
      </c>
      <c r="B10" s="58"/>
      <c r="C10" s="58"/>
      <c r="D10" s="58"/>
      <c r="E10" s="58"/>
      <c r="F10" s="58"/>
      <c r="G10" s="73"/>
      <c r="H10" s="73"/>
      <c r="I10" s="73"/>
      <c r="J10" s="73"/>
      <c r="K10" s="73"/>
      <c r="L10" s="73"/>
      <c r="M10" s="73"/>
      <c r="N10" s="58" t="s">
        <v>82</v>
      </c>
      <c r="O10" s="58"/>
      <c r="P10" s="58"/>
      <c r="Q10" s="58"/>
      <c r="R10" s="58"/>
      <c r="S10" s="58"/>
      <c r="T10" s="40"/>
      <c r="U10" s="40"/>
      <c r="V10" s="40"/>
      <c r="W10" s="40"/>
      <c r="X10" s="40"/>
      <c r="Y10" s="40"/>
      <c r="Z10" s="40"/>
    </row>
    <row r="11" spans="1:26" ht="22.5" customHeight="1" x14ac:dyDescent="0.35">
      <c r="A11" s="28" t="s">
        <v>2</v>
      </c>
      <c r="B11" s="29"/>
      <c r="C11" s="29"/>
      <c r="D11" s="29"/>
      <c r="E11" s="29"/>
      <c r="F11" s="30"/>
      <c r="G11" s="31"/>
      <c r="H11" s="32"/>
      <c r="I11" s="32"/>
      <c r="J11" s="32"/>
      <c r="K11" s="32"/>
      <c r="L11" s="32"/>
      <c r="M11" s="33"/>
      <c r="N11" s="34" t="s">
        <v>3</v>
      </c>
      <c r="O11" s="35"/>
      <c r="P11" s="35"/>
      <c r="Q11" s="35"/>
      <c r="R11" s="35"/>
      <c r="S11" s="36"/>
      <c r="T11" s="40"/>
      <c r="U11" s="40"/>
      <c r="V11" s="40"/>
      <c r="W11" s="40"/>
      <c r="X11" s="40"/>
      <c r="Y11" s="40"/>
      <c r="Z11" s="40"/>
    </row>
    <row r="12" spans="1:26" ht="22.5" customHeight="1" x14ac:dyDescent="0.35">
      <c r="A12" s="28" t="s">
        <v>87</v>
      </c>
      <c r="B12" s="29"/>
      <c r="C12" s="29"/>
      <c r="D12" s="29"/>
      <c r="E12" s="29"/>
      <c r="F12" s="30"/>
      <c r="G12" s="31"/>
      <c r="H12" s="32"/>
      <c r="I12" s="32"/>
      <c r="J12" s="32"/>
      <c r="K12" s="32"/>
      <c r="L12" s="32"/>
      <c r="M12" s="33"/>
      <c r="N12" s="37"/>
      <c r="O12" s="38"/>
      <c r="P12" s="38"/>
      <c r="Q12" s="38"/>
      <c r="R12" s="38"/>
      <c r="S12" s="39"/>
      <c r="T12" s="40"/>
      <c r="U12" s="40"/>
      <c r="V12" s="40"/>
      <c r="W12" s="40"/>
      <c r="X12" s="40"/>
      <c r="Y12" s="40"/>
      <c r="Z12" s="40"/>
    </row>
    <row r="13" spans="1:26" ht="22.5" customHeight="1" x14ac:dyDescent="0.35">
      <c r="A13" s="28" t="s">
        <v>72</v>
      </c>
      <c r="B13" s="29"/>
      <c r="C13" s="29"/>
      <c r="D13" s="29"/>
      <c r="E13" s="29"/>
      <c r="F13" s="30"/>
      <c r="G13" s="55"/>
      <c r="H13" s="56"/>
      <c r="I13" s="56"/>
      <c r="J13" s="56"/>
      <c r="K13" s="56"/>
      <c r="L13" s="56"/>
      <c r="M13" s="57"/>
      <c r="N13" s="34" t="s">
        <v>61</v>
      </c>
      <c r="O13" s="35"/>
      <c r="P13" s="36"/>
      <c r="Q13" s="28" t="s">
        <v>7</v>
      </c>
      <c r="R13" s="29"/>
      <c r="S13" s="30"/>
      <c r="T13" s="55"/>
      <c r="U13" s="56"/>
      <c r="V13" s="56"/>
      <c r="W13" s="56"/>
      <c r="X13" s="56"/>
      <c r="Y13" s="56"/>
      <c r="Z13" s="57"/>
    </row>
    <row r="14" spans="1:26" ht="22.5" customHeight="1" x14ac:dyDescent="0.35">
      <c r="A14" s="58" t="s">
        <v>4</v>
      </c>
      <c r="B14" s="58"/>
      <c r="C14" s="58"/>
      <c r="D14" s="58"/>
      <c r="E14" s="58"/>
      <c r="F14" s="58"/>
      <c r="G14" s="59"/>
      <c r="H14" s="59"/>
      <c r="I14" s="59"/>
      <c r="J14" s="59"/>
      <c r="K14" s="59"/>
      <c r="L14" s="59"/>
      <c r="M14" s="59"/>
      <c r="N14" s="60"/>
      <c r="O14" s="61"/>
      <c r="P14" s="62"/>
      <c r="Q14" s="28" t="s">
        <v>4</v>
      </c>
      <c r="R14" s="29"/>
      <c r="S14" s="30"/>
      <c r="T14" s="55"/>
      <c r="U14" s="56"/>
      <c r="V14" s="56"/>
      <c r="W14" s="56"/>
      <c r="X14" s="56"/>
      <c r="Y14" s="56"/>
      <c r="Z14" s="57"/>
    </row>
    <row r="15" spans="1:26" ht="22.5" customHeight="1" x14ac:dyDescent="0.35">
      <c r="A15" s="58" t="s">
        <v>5</v>
      </c>
      <c r="B15" s="58"/>
      <c r="C15" s="58"/>
      <c r="D15" s="58"/>
      <c r="E15" s="58"/>
      <c r="F15" s="58"/>
      <c r="G15" s="77"/>
      <c r="H15" s="77"/>
      <c r="I15" s="77"/>
      <c r="J15" s="77"/>
      <c r="K15" s="77"/>
      <c r="L15" s="77"/>
      <c r="M15" s="77"/>
      <c r="N15" s="60"/>
      <c r="O15" s="61"/>
      <c r="P15" s="62"/>
      <c r="Q15" s="28" t="s">
        <v>8</v>
      </c>
      <c r="R15" s="29"/>
      <c r="S15" s="30"/>
      <c r="T15" s="55"/>
      <c r="U15" s="56"/>
      <c r="V15" s="56"/>
      <c r="W15" s="56"/>
      <c r="X15" s="56"/>
      <c r="Y15" s="56"/>
      <c r="Z15" s="57"/>
    </row>
    <row r="16" spans="1:26" ht="22.5" customHeight="1" x14ac:dyDescent="0.35">
      <c r="A16" s="58" t="s">
        <v>6</v>
      </c>
      <c r="B16" s="58"/>
      <c r="C16" s="58"/>
      <c r="D16" s="58" t="s">
        <v>7</v>
      </c>
      <c r="E16" s="58"/>
      <c r="F16" s="58"/>
      <c r="G16" s="59"/>
      <c r="H16" s="59"/>
      <c r="I16" s="59"/>
      <c r="J16" s="59"/>
      <c r="K16" s="59"/>
      <c r="L16" s="59"/>
      <c r="M16" s="59"/>
      <c r="N16" s="37"/>
      <c r="O16" s="38"/>
      <c r="P16" s="39"/>
      <c r="Q16" s="28" t="s">
        <v>5</v>
      </c>
      <c r="R16" s="29"/>
      <c r="S16" s="30"/>
      <c r="T16" s="74"/>
      <c r="U16" s="75"/>
      <c r="V16" s="75"/>
      <c r="W16" s="75"/>
      <c r="X16" s="75"/>
      <c r="Y16" s="75"/>
      <c r="Z16" s="76"/>
    </row>
    <row r="17" spans="1:26" ht="22.5" customHeight="1" x14ac:dyDescent="0.35">
      <c r="A17" s="58"/>
      <c r="B17" s="58"/>
      <c r="C17" s="58"/>
      <c r="D17" s="58" t="s">
        <v>4</v>
      </c>
      <c r="E17" s="58"/>
      <c r="F17" s="58"/>
      <c r="G17" s="59"/>
      <c r="H17" s="59"/>
      <c r="I17" s="59"/>
      <c r="J17" s="59"/>
      <c r="K17" s="59"/>
      <c r="L17" s="59"/>
      <c r="M17" s="59"/>
      <c r="N17" s="2"/>
      <c r="O17" s="3"/>
      <c r="P17" s="3"/>
      <c r="Q17" s="3"/>
      <c r="R17" s="4"/>
      <c r="S17" s="4"/>
      <c r="T17" s="4"/>
      <c r="U17" s="4"/>
      <c r="V17" s="4"/>
      <c r="W17" s="4"/>
      <c r="X17" s="4"/>
      <c r="Y17" s="4"/>
      <c r="Z17" s="5"/>
    </row>
    <row r="18" spans="1:26" ht="22.5" customHeight="1" x14ac:dyDescent="0.35">
      <c r="A18" s="58"/>
      <c r="B18" s="58"/>
      <c r="C18" s="58"/>
      <c r="D18" s="58" t="s">
        <v>8</v>
      </c>
      <c r="E18" s="58"/>
      <c r="F18" s="58"/>
      <c r="G18" s="103"/>
      <c r="H18" s="103"/>
      <c r="I18" s="103"/>
      <c r="J18" s="103"/>
      <c r="K18" s="103"/>
      <c r="L18" s="103"/>
      <c r="M18" s="103"/>
      <c r="N18" s="2"/>
      <c r="O18" s="3"/>
      <c r="P18" s="3"/>
      <c r="Q18" s="3"/>
      <c r="R18" s="4"/>
      <c r="S18" s="4"/>
      <c r="T18" s="4"/>
      <c r="U18" s="4"/>
      <c r="V18" s="4"/>
      <c r="W18" s="4"/>
      <c r="X18" s="4"/>
      <c r="Y18" s="4"/>
      <c r="Z18" s="5"/>
    </row>
    <row r="19" spans="1:26" ht="22.5" customHeight="1" x14ac:dyDescent="0.35">
      <c r="A19" s="58"/>
      <c r="B19" s="58"/>
      <c r="C19" s="58"/>
      <c r="D19" s="58" t="s">
        <v>5</v>
      </c>
      <c r="E19" s="58"/>
      <c r="F19" s="58"/>
      <c r="G19" s="77"/>
      <c r="H19" s="59"/>
      <c r="I19" s="59"/>
      <c r="J19" s="59"/>
      <c r="K19" s="59"/>
      <c r="L19" s="59"/>
      <c r="M19" s="59"/>
      <c r="N19" s="2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s="2" customFormat="1" ht="22.5" customHeight="1" x14ac:dyDescent="0.2">
      <c r="A20" s="58" t="s">
        <v>9</v>
      </c>
      <c r="B20" s="58"/>
      <c r="C20" s="58"/>
      <c r="D20" s="58"/>
      <c r="E20" s="58"/>
      <c r="F20" s="58"/>
      <c r="G20" s="59"/>
      <c r="H20" s="59"/>
      <c r="I20" s="59"/>
      <c r="J20" s="59"/>
      <c r="K20" s="59"/>
      <c r="L20" s="59"/>
      <c r="M20" s="59"/>
      <c r="O20" s="3"/>
      <c r="P20" s="3"/>
      <c r="Q20" s="3"/>
      <c r="R20" s="4"/>
      <c r="S20" s="4"/>
      <c r="T20" s="4"/>
      <c r="U20" s="4"/>
      <c r="V20" s="4"/>
      <c r="W20" s="4"/>
      <c r="X20" s="4"/>
      <c r="Y20" s="4"/>
      <c r="Z20" s="5"/>
    </row>
    <row r="21" spans="1:26" s="2" customFormat="1" ht="22.5" customHeight="1" x14ac:dyDescent="0.2">
      <c r="A21" s="58" t="s">
        <v>10</v>
      </c>
      <c r="B21" s="58"/>
      <c r="C21" s="58"/>
      <c r="D21" s="58"/>
      <c r="E21" s="58"/>
      <c r="F21" s="58"/>
      <c r="G21" s="77"/>
      <c r="H21" s="59"/>
      <c r="I21" s="59"/>
      <c r="J21" s="59"/>
      <c r="K21" s="59"/>
      <c r="L21" s="59"/>
      <c r="M21" s="59"/>
      <c r="O21" s="3"/>
      <c r="P21" s="3"/>
      <c r="Q21" s="3"/>
      <c r="R21" s="4"/>
      <c r="S21" s="4"/>
      <c r="T21" s="4"/>
      <c r="U21" s="4"/>
      <c r="V21" s="4"/>
      <c r="W21" s="4"/>
      <c r="X21" s="4"/>
      <c r="Y21" s="4"/>
      <c r="Z21" s="5"/>
    </row>
    <row r="22" spans="1:26" s="2" customFormat="1" ht="22.5" customHeight="1" x14ac:dyDescent="0.2">
      <c r="A22" s="9"/>
      <c r="B22" s="10"/>
      <c r="C22" s="10"/>
      <c r="D22" s="10"/>
      <c r="E22" s="10"/>
      <c r="F22" s="10"/>
      <c r="G22" s="11"/>
      <c r="H22" s="11"/>
      <c r="I22" s="11"/>
      <c r="J22" s="11"/>
      <c r="K22" s="11"/>
      <c r="L22" s="11"/>
      <c r="M22" s="12"/>
      <c r="N22" s="12"/>
      <c r="O22" s="13"/>
      <c r="P22" s="13"/>
      <c r="Q22" s="13"/>
      <c r="R22" s="14"/>
      <c r="S22" s="14"/>
      <c r="T22" s="14"/>
      <c r="U22" s="14"/>
      <c r="V22" s="14"/>
      <c r="W22" s="14"/>
      <c r="X22" s="14"/>
      <c r="Y22" s="14"/>
      <c r="Z22" s="15"/>
    </row>
    <row r="23" spans="1:26" s="2" customFormat="1" ht="22.5" customHeight="1" x14ac:dyDescent="0.2">
      <c r="A23" s="16" t="s">
        <v>11</v>
      </c>
      <c r="B23" s="104" t="s">
        <v>17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 t="s">
        <v>18</v>
      </c>
      <c r="N23" s="104"/>
      <c r="O23" s="104"/>
      <c r="P23" s="104"/>
      <c r="Q23" s="104"/>
      <c r="R23" s="104"/>
      <c r="S23" s="104"/>
      <c r="T23" s="104"/>
      <c r="U23" s="104"/>
      <c r="V23" s="104"/>
      <c r="W23" s="104" t="s">
        <v>21</v>
      </c>
      <c r="X23" s="104"/>
      <c r="Y23" s="105" t="s">
        <v>83</v>
      </c>
      <c r="Z23" s="105"/>
    </row>
    <row r="24" spans="1:26" s="2" customFormat="1" ht="22.5" customHeight="1" x14ac:dyDescent="0.2">
      <c r="A24" s="17">
        <v>1</v>
      </c>
      <c r="B24" s="92" t="s">
        <v>62</v>
      </c>
      <c r="C24" s="93"/>
      <c r="D24" s="93"/>
      <c r="E24" s="93"/>
      <c r="F24" s="93"/>
      <c r="G24" s="93"/>
      <c r="H24" s="93"/>
      <c r="I24" s="93"/>
      <c r="J24" s="93"/>
      <c r="K24" s="93"/>
      <c r="L24" s="94"/>
      <c r="M24" s="95"/>
      <c r="N24" s="96"/>
      <c r="O24" s="96"/>
      <c r="P24" s="96"/>
      <c r="Q24" s="96"/>
      <c r="R24" s="96"/>
      <c r="S24" s="96"/>
      <c r="T24" s="96"/>
      <c r="U24" s="96"/>
      <c r="V24" s="97"/>
      <c r="W24" s="98"/>
      <c r="X24" s="99"/>
      <c r="Y24" s="105"/>
      <c r="Z24" s="105"/>
    </row>
    <row r="25" spans="1:26" s="2" customFormat="1" ht="22.5" customHeight="1" x14ac:dyDescent="0.65">
      <c r="A25" s="17">
        <v>2</v>
      </c>
      <c r="B25" s="78" t="s">
        <v>63</v>
      </c>
      <c r="C25" s="79"/>
      <c r="D25" s="79"/>
      <c r="E25" s="79"/>
      <c r="F25" s="79"/>
      <c r="G25" s="79"/>
      <c r="H25" s="79"/>
      <c r="I25" s="79"/>
      <c r="J25" s="79"/>
      <c r="K25" s="79"/>
      <c r="L25" s="80"/>
      <c r="M25" s="41" t="s">
        <v>64</v>
      </c>
      <c r="N25" s="42"/>
      <c r="O25" s="42"/>
      <c r="P25" s="42"/>
      <c r="Q25" s="42"/>
      <c r="R25" s="42"/>
      <c r="S25" s="42"/>
      <c r="T25" s="42"/>
      <c r="U25" s="42"/>
      <c r="V25" s="43"/>
      <c r="W25" s="100"/>
      <c r="X25" s="100"/>
      <c r="Y25" s="101"/>
      <c r="Z25" s="102"/>
    </row>
    <row r="26" spans="1:26" s="2" customFormat="1" ht="22.5" customHeight="1" x14ac:dyDescent="0.65">
      <c r="A26" s="17">
        <v>3</v>
      </c>
      <c r="B26" s="78" t="s">
        <v>65</v>
      </c>
      <c r="C26" s="79"/>
      <c r="D26" s="79"/>
      <c r="E26" s="79"/>
      <c r="F26" s="79"/>
      <c r="G26" s="79"/>
      <c r="H26" s="79"/>
      <c r="I26" s="79"/>
      <c r="J26" s="79"/>
      <c r="K26" s="79"/>
      <c r="L26" s="80"/>
      <c r="M26" s="41" t="s">
        <v>66</v>
      </c>
      <c r="N26" s="42"/>
      <c r="O26" s="42"/>
      <c r="P26" s="42"/>
      <c r="Q26" s="42"/>
      <c r="R26" s="42"/>
      <c r="S26" s="42"/>
      <c r="T26" s="42"/>
      <c r="U26" s="42"/>
      <c r="V26" s="43"/>
      <c r="W26" s="100"/>
      <c r="X26" s="100"/>
      <c r="Y26" s="101"/>
      <c r="Z26" s="102"/>
    </row>
    <row r="27" spans="1:26" s="2" customFormat="1" ht="22.5" customHeight="1" x14ac:dyDescent="0.65">
      <c r="A27" s="17">
        <v>4</v>
      </c>
      <c r="B27" s="78" t="s">
        <v>67</v>
      </c>
      <c r="C27" s="79"/>
      <c r="D27" s="79"/>
      <c r="E27" s="79"/>
      <c r="F27" s="79"/>
      <c r="G27" s="79"/>
      <c r="H27" s="79"/>
      <c r="I27" s="79"/>
      <c r="J27" s="79"/>
      <c r="K27" s="79"/>
      <c r="L27" s="80"/>
      <c r="M27" s="41" t="s">
        <v>68</v>
      </c>
      <c r="N27" s="42"/>
      <c r="O27" s="42"/>
      <c r="P27" s="42"/>
      <c r="Q27" s="42"/>
      <c r="R27" s="42"/>
      <c r="S27" s="42"/>
      <c r="T27" s="42"/>
      <c r="U27" s="42"/>
      <c r="V27" s="43"/>
      <c r="W27" s="100"/>
      <c r="X27" s="100"/>
      <c r="Y27" s="101"/>
      <c r="Z27" s="102"/>
    </row>
    <row r="28" spans="1:26" s="2" customFormat="1" ht="22.5" customHeight="1" x14ac:dyDescent="0.65">
      <c r="A28" s="17">
        <v>5</v>
      </c>
      <c r="B28" s="78" t="s">
        <v>69</v>
      </c>
      <c r="C28" s="79"/>
      <c r="D28" s="79"/>
      <c r="E28" s="79"/>
      <c r="F28" s="79"/>
      <c r="G28" s="79"/>
      <c r="H28" s="79"/>
      <c r="I28" s="79"/>
      <c r="J28" s="79"/>
      <c r="K28" s="79"/>
      <c r="L28" s="80"/>
      <c r="M28" s="41" t="s">
        <v>13</v>
      </c>
      <c r="N28" s="42"/>
      <c r="O28" s="42"/>
      <c r="P28" s="42"/>
      <c r="Q28" s="42"/>
      <c r="R28" s="42"/>
      <c r="S28" s="42"/>
      <c r="T28" s="42"/>
      <c r="U28" s="42"/>
      <c r="V28" s="43"/>
      <c r="W28" s="100"/>
      <c r="X28" s="100"/>
      <c r="Y28" s="101"/>
      <c r="Z28" s="102"/>
    </row>
    <row r="29" spans="1:26" s="2" customFormat="1" ht="22.5" customHeight="1" x14ac:dyDescent="0.65">
      <c r="A29" s="17">
        <v>6</v>
      </c>
      <c r="B29" s="78" t="s">
        <v>70</v>
      </c>
      <c r="C29" s="79"/>
      <c r="D29" s="79"/>
      <c r="E29" s="79"/>
      <c r="F29" s="79"/>
      <c r="G29" s="79"/>
      <c r="H29" s="79"/>
      <c r="I29" s="79"/>
      <c r="J29" s="79"/>
      <c r="K29" s="79"/>
      <c r="L29" s="80"/>
      <c r="M29" s="41" t="s">
        <v>71</v>
      </c>
      <c r="N29" s="42"/>
      <c r="O29" s="42"/>
      <c r="P29" s="42"/>
      <c r="Q29" s="42"/>
      <c r="R29" s="42"/>
      <c r="S29" s="42"/>
      <c r="T29" s="42"/>
      <c r="U29" s="42"/>
      <c r="V29" s="43"/>
      <c r="W29" s="100"/>
      <c r="X29" s="100"/>
      <c r="Y29" s="101"/>
      <c r="Z29" s="102"/>
    </row>
    <row r="30" spans="1:26" s="2" customFormat="1" ht="22.5" customHeight="1" x14ac:dyDescent="0.2">
      <c r="A30" s="17">
        <v>7</v>
      </c>
      <c r="B30" s="92" t="s">
        <v>12</v>
      </c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5"/>
      <c r="N30" s="96"/>
      <c r="O30" s="96"/>
      <c r="P30" s="96"/>
      <c r="Q30" s="96"/>
      <c r="R30" s="96"/>
      <c r="S30" s="96"/>
      <c r="T30" s="96"/>
      <c r="U30" s="96"/>
      <c r="V30" s="97"/>
      <c r="W30" s="106"/>
      <c r="X30" s="106"/>
      <c r="Y30" s="106"/>
      <c r="Z30" s="106"/>
    </row>
    <row r="31" spans="1:26" s="2" customFormat="1" ht="22.5" customHeight="1" x14ac:dyDescent="0.65">
      <c r="A31" s="17">
        <v>8</v>
      </c>
      <c r="B31" s="78" t="s">
        <v>46</v>
      </c>
      <c r="C31" s="79"/>
      <c r="D31" s="79"/>
      <c r="E31" s="79"/>
      <c r="F31" s="79"/>
      <c r="G31" s="79"/>
      <c r="H31" s="79"/>
      <c r="I31" s="79"/>
      <c r="J31" s="79"/>
      <c r="K31" s="79"/>
      <c r="L31" s="80"/>
      <c r="M31" s="107" t="s">
        <v>49</v>
      </c>
      <c r="N31" s="108"/>
      <c r="O31" s="108"/>
      <c r="P31" s="108"/>
      <c r="Q31" s="108"/>
      <c r="R31" s="108"/>
      <c r="S31" s="108"/>
      <c r="T31" s="108"/>
      <c r="U31" s="108"/>
      <c r="V31" s="109"/>
      <c r="W31" s="81"/>
      <c r="X31" s="82"/>
      <c r="Y31" s="101"/>
      <c r="Z31" s="102"/>
    </row>
    <row r="32" spans="1:26" s="2" customFormat="1" ht="22.5" customHeight="1" x14ac:dyDescent="0.65">
      <c r="A32" s="17">
        <v>9</v>
      </c>
      <c r="B32" s="78" t="s">
        <v>47</v>
      </c>
      <c r="C32" s="79"/>
      <c r="D32" s="79"/>
      <c r="E32" s="79"/>
      <c r="F32" s="79"/>
      <c r="G32" s="79"/>
      <c r="H32" s="79"/>
      <c r="I32" s="79"/>
      <c r="J32" s="79"/>
      <c r="K32" s="79"/>
      <c r="L32" s="80"/>
      <c r="M32" s="110"/>
      <c r="N32" s="111"/>
      <c r="O32" s="111"/>
      <c r="P32" s="111"/>
      <c r="Q32" s="111"/>
      <c r="R32" s="111"/>
      <c r="S32" s="111"/>
      <c r="T32" s="111"/>
      <c r="U32" s="111"/>
      <c r="V32" s="112"/>
      <c r="W32" s="81"/>
      <c r="X32" s="82"/>
      <c r="Y32" s="101"/>
      <c r="Z32" s="102"/>
    </row>
    <row r="33" spans="1:26" s="2" customFormat="1" ht="22.5" customHeight="1" x14ac:dyDescent="0.65">
      <c r="A33" s="17">
        <v>10</v>
      </c>
      <c r="B33" s="83" t="s">
        <v>50</v>
      </c>
      <c r="C33" s="84"/>
      <c r="D33" s="84"/>
      <c r="E33" s="84"/>
      <c r="F33" s="84"/>
      <c r="G33" s="84"/>
      <c r="H33" s="84"/>
      <c r="I33" s="84"/>
      <c r="J33" s="84"/>
      <c r="K33" s="84"/>
      <c r="L33" s="85"/>
      <c r="M33" s="41" t="s">
        <v>51</v>
      </c>
      <c r="N33" s="42"/>
      <c r="O33" s="42"/>
      <c r="P33" s="42" t="s">
        <v>14</v>
      </c>
      <c r="Q33" s="42"/>
      <c r="R33" s="42"/>
      <c r="S33" s="42"/>
      <c r="T33" s="42"/>
      <c r="U33" s="42"/>
      <c r="V33" s="43"/>
      <c r="W33" s="81"/>
      <c r="X33" s="82"/>
      <c r="Y33" s="101"/>
      <c r="Z33" s="102"/>
    </row>
    <row r="34" spans="1:26" s="2" customFormat="1" ht="22.5" customHeight="1" x14ac:dyDescent="0.65">
      <c r="A34" s="17">
        <v>11</v>
      </c>
      <c r="B34" s="86"/>
      <c r="C34" s="87"/>
      <c r="D34" s="87"/>
      <c r="E34" s="87"/>
      <c r="F34" s="87"/>
      <c r="G34" s="87"/>
      <c r="H34" s="87"/>
      <c r="I34" s="87"/>
      <c r="J34" s="87"/>
      <c r="K34" s="87"/>
      <c r="L34" s="88"/>
      <c r="M34" s="41" t="s">
        <v>52</v>
      </c>
      <c r="N34" s="42"/>
      <c r="O34" s="42"/>
      <c r="P34" s="42" t="s">
        <v>15</v>
      </c>
      <c r="Q34" s="42"/>
      <c r="R34" s="42"/>
      <c r="S34" s="42"/>
      <c r="T34" s="42"/>
      <c r="U34" s="42"/>
      <c r="V34" s="43"/>
      <c r="W34" s="81"/>
      <c r="X34" s="82"/>
      <c r="Y34" s="101"/>
      <c r="Z34" s="102"/>
    </row>
    <row r="35" spans="1:26" s="2" customFormat="1" ht="22.5" customHeight="1" x14ac:dyDescent="0.65">
      <c r="A35" s="17">
        <v>12</v>
      </c>
      <c r="B35" s="89"/>
      <c r="C35" s="90"/>
      <c r="D35" s="90"/>
      <c r="E35" s="90"/>
      <c r="F35" s="90"/>
      <c r="G35" s="90"/>
      <c r="H35" s="90"/>
      <c r="I35" s="90"/>
      <c r="J35" s="90"/>
      <c r="K35" s="90"/>
      <c r="L35" s="91"/>
      <c r="M35" s="41" t="s">
        <v>53</v>
      </c>
      <c r="N35" s="42"/>
      <c r="O35" s="42"/>
      <c r="P35" s="42" t="s">
        <v>13</v>
      </c>
      <c r="Q35" s="42"/>
      <c r="R35" s="42"/>
      <c r="S35" s="42"/>
      <c r="T35" s="42"/>
      <c r="U35" s="42"/>
      <c r="V35" s="43"/>
      <c r="W35" s="81"/>
      <c r="X35" s="82"/>
      <c r="Y35" s="101"/>
      <c r="Z35" s="102"/>
    </row>
    <row r="36" spans="1:26" s="2" customFormat="1" ht="22.5" customHeight="1" x14ac:dyDescent="0.65">
      <c r="A36" s="17">
        <v>13</v>
      </c>
      <c r="B36" s="78" t="s">
        <v>48</v>
      </c>
      <c r="C36" s="79"/>
      <c r="D36" s="79"/>
      <c r="E36" s="79"/>
      <c r="F36" s="79"/>
      <c r="G36" s="79"/>
      <c r="H36" s="79"/>
      <c r="I36" s="79"/>
      <c r="J36" s="79"/>
      <c r="K36" s="79"/>
      <c r="L36" s="80"/>
      <c r="M36" s="41" t="s">
        <v>20</v>
      </c>
      <c r="N36" s="42"/>
      <c r="O36" s="42"/>
      <c r="P36" s="42" t="s">
        <v>20</v>
      </c>
      <c r="Q36" s="42"/>
      <c r="R36" s="42"/>
      <c r="S36" s="42"/>
      <c r="T36" s="42"/>
      <c r="U36" s="42"/>
      <c r="V36" s="43"/>
      <c r="W36" s="81"/>
      <c r="X36" s="82"/>
      <c r="Y36" s="101"/>
      <c r="Z36" s="102"/>
    </row>
    <row r="37" spans="1:26" s="2" customFormat="1" ht="22.5" customHeight="1" x14ac:dyDescent="0.65">
      <c r="A37" s="17">
        <v>14</v>
      </c>
      <c r="B37" s="164" t="s">
        <v>86</v>
      </c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165" t="s">
        <v>54</v>
      </c>
      <c r="N37" s="166"/>
      <c r="O37" s="166"/>
      <c r="P37" s="166"/>
      <c r="Q37" s="166"/>
      <c r="R37" s="166"/>
      <c r="S37" s="166"/>
      <c r="T37" s="166"/>
      <c r="U37" s="166"/>
      <c r="V37" s="167"/>
      <c r="W37" s="124"/>
      <c r="X37" s="124"/>
      <c r="Y37" s="81"/>
      <c r="Z37" s="82"/>
    </row>
    <row r="38" spans="1:26" s="2" customFormat="1" ht="22.5" customHeight="1" x14ac:dyDescent="0.2">
      <c r="A38" s="17">
        <v>15</v>
      </c>
      <c r="B38" s="168" t="s">
        <v>79</v>
      </c>
      <c r="C38" s="169"/>
      <c r="D38" s="169"/>
      <c r="E38" s="169"/>
      <c r="F38" s="169"/>
      <c r="G38" s="169"/>
      <c r="H38" s="169"/>
      <c r="I38" s="169"/>
      <c r="J38" s="169"/>
      <c r="K38" s="169"/>
      <c r="L38" s="170"/>
      <c r="M38" s="107" t="s">
        <v>28</v>
      </c>
      <c r="N38" s="108"/>
      <c r="O38" s="108"/>
      <c r="P38" s="108"/>
      <c r="Q38" s="108"/>
      <c r="R38" s="108"/>
      <c r="S38" s="108"/>
      <c r="T38" s="108"/>
      <c r="U38" s="108"/>
      <c r="V38" s="109"/>
      <c r="W38" s="128"/>
      <c r="X38" s="129"/>
      <c r="Y38" s="118"/>
      <c r="Z38" s="119"/>
    </row>
    <row r="39" spans="1:26" s="2" customFormat="1" ht="22.5" customHeight="1" x14ac:dyDescent="0.2">
      <c r="A39" s="17">
        <v>16</v>
      </c>
      <c r="B39" s="171" t="s">
        <v>85</v>
      </c>
      <c r="C39" s="172"/>
      <c r="D39" s="172"/>
      <c r="E39" s="172"/>
      <c r="F39" s="172"/>
      <c r="G39" s="172"/>
      <c r="H39" s="172"/>
      <c r="I39" s="172"/>
      <c r="J39" s="172"/>
      <c r="K39" s="172"/>
      <c r="L39" s="173"/>
      <c r="M39" s="125"/>
      <c r="N39" s="126"/>
      <c r="O39" s="126"/>
      <c r="P39" s="126"/>
      <c r="Q39" s="126"/>
      <c r="R39" s="126"/>
      <c r="S39" s="126"/>
      <c r="T39" s="126"/>
      <c r="U39" s="126"/>
      <c r="V39" s="127"/>
      <c r="W39" s="130"/>
      <c r="X39" s="131"/>
      <c r="Y39" s="120"/>
      <c r="Z39" s="121"/>
    </row>
    <row r="40" spans="1:26" s="2" customFormat="1" ht="22.5" customHeight="1" x14ac:dyDescent="0.2">
      <c r="A40" s="17">
        <v>17</v>
      </c>
      <c r="B40" s="171"/>
      <c r="C40" s="172"/>
      <c r="D40" s="172"/>
      <c r="E40" s="172"/>
      <c r="F40" s="172"/>
      <c r="G40" s="172"/>
      <c r="H40" s="172"/>
      <c r="I40" s="172"/>
      <c r="J40" s="172"/>
      <c r="K40" s="172"/>
      <c r="L40" s="173"/>
      <c r="M40" s="125"/>
      <c r="N40" s="126"/>
      <c r="O40" s="126"/>
      <c r="P40" s="126"/>
      <c r="Q40" s="126"/>
      <c r="R40" s="126"/>
      <c r="S40" s="126"/>
      <c r="T40" s="126"/>
      <c r="U40" s="126"/>
      <c r="V40" s="127"/>
      <c r="W40" s="130"/>
      <c r="X40" s="131"/>
      <c r="Y40" s="120"/>
      <c r="Z40" s="121"/>
    </row>
    <row r="41" spans="1:26" s="2" customFormat="1" ht="22.5" customHeight="1" x14ac:dyDescent="0.2">
      <c r="A41" s="17">
        <v>18</v>
      </c>
      <c r="B41" s="171"/>
      <c r="C41" s="172"/>
      <c r="D41" s="172"/>
      <c r="E41" s="172"/>
      <c r="F41" s="172"/>
      <c r="G41" s="172"/>
      <c r="H41" s="172"/>
      <c r="I41" s="172"/>
      <c r="J41" s="172"/>
      <c r="K41" s="172"/>
      <c r="L41" s="173"/>
      <c r="M41" s="125"/>
      <c r="N41" s="126"/>
      <c r="O41" s="126"/>
      <c r="P41" s="126"/>
      <c r="Q41" s="126"/>
      <c r="R41" s="126"/>
      <c r="S41" s="126"/>
      <c r="T41" s="126"/>
      <c r="U41" s="126"/>
      <c r="V41" s="127"/>
      <c r="W41" s="130"/>
      <c r="X41" s="131"/>
      <c r="Y41" s="120"/>
      <c r="Z41" s="121"/>
    </row>
    <row r="42" spans="1:26" s="2" customFormat="1" ht="22.5" customHeight="1" x14ac:dyDescent="0.2">
      <c r="A42" s="17">
        <v>19</v>
      </c>
      <c r="B42" s="174"/>
      <c r="C42" s="175"/>
      <c r="D42" s="175"/>
      <c r="E42" s="175"/>
      <c r="F42" s="175"/>
      <c r="G42" s="175"/>
      <c r="H42" s="175"/>
      <c r="I42" s="175"/>
      <c r="J42" s="175"/>
      <c r="K42" s="175"/>
      <c r="L42" s="176"/>
      <c r="M42" s="125"/>
      <c r="N42" s="126"/>
      <c r="O42" s="126"/>
      <c r="P42" s="126"/>
      <c r="Q42" s="126"/>
      <c r="R42" s="126"/>
      <c r="S42" s="126"/>
      <c r="T42" s="126"/>
      <c r="U42" s="126"/>
      <c r="V42" s="127"/>
      <c r="W42" s="132"/>
      <c r="X42" s="133"/>
      <c r="Y42" s="122"/>
      <c r="Z42" s="123"/>
    </row>
    <row r="43" spans="1:26" s="2" customFormat="1" ht="22.5" customHeight="1" x14ac:dyDescent="0.2">
      <c r="A43" s="17">
        <v>20</v>
      </c>
      <c r="B43" s="41" t="s">
        <v>30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3"/>
    </row>
    <row r="44" spans="1:26" s="2" customFormat="1" ht="22.5" customHeight="1" x14ac:dyDescent="0.2">
      <c r="A44" s="17">
        <v>21</v>
      </c>
      <c r="B44" s="78" t="s">
        <v>84</v>
      </c>
      <c r="C44" s="79"/>
      <c r="D44" s="79"/>
      <c r="E44" s="79"/>
      <c r="F44" s="79"/>
      <c r="G44" s="79"/>
      <c r="H44" s="79"/>
      <c r="I44" s="79"/>
      <c r="J44" s="79"/>
      <c r="K44" s="79"/>
      <c r="L44" s="80"/>
      <c r="M44" s="41" t="s">
        <v>31</v>
      </c>
      <c r="N44" s="42"/>
      <c r="O44" s="42"/>
      <c r="P44" s="42"/>
      <c r="Q44" s="42"/>
      <c r="R44" s="42"/>
      <c r="S44" s="42"/>
      <c r="T44" s="42"/>
      <c r="U44" s="42"/>
      <c r="V44" s="43"/>
      <c r="W44" s="116"/>
      <c r="X44" s="117"/>
      <c r="Y44" s="101"/>
      <c r="Z44" s="102"/>
    </row>
    <row r="45" spans="1:26" s="2" customFormat="1" ht="22.5" customHeight="1" x14ac:dyDescent="0.2">
      <c r="A45" s="17">
        <v>22</v>
      </c>
      <c r="B45" s="41" t="s">
        <v>32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3"/>
    </row>
    <row r="46" spans="1:26" s="2" customFormat="1" ht="22.5" customHeight="1" x14ac:dyDescent="0.2">
      <c r="A46" s="17">
        <v>23</v>
      </c>
      <c r="B46" s="83" t="s">
        <v>33</v>
      </c>
      <c r="C46" s="84"/>
      <c r="D46" s="84"/>
      <c r="E46" s="84"/>
      <c r="F46" s="84"/>
      <c r="G46" s="84"/>
      <c r="H46" s="84"/>
      <c r="I46" s="84"/>
      <c r="J46" s="85"/>
      <c r="K46" s="115" t="s">
        <v>35</v>
      </c>
      <c r="L46" s="115"/>
      <c r="M46" s="177">
        <v>0.66</v>
      </c>
      <c r="N46" s="109" t="s">
        <v>80</v>
      </c>
      <c r="O46" s="179" t="s">
        <v>22</v>
      </c>
      <c r="P46" s="182">
        <f>MAX((M48*0.01),(0.005))</f>
        <v>7.2600000000000008E-3</v>
      </c>
      <c r="Q46" s="183"/>
      <c r="R46" s="183"/>
      <c r="S46" s="183"/>
      <c r="T46" s="183"/>
      <c r="U46" s="183"/>
      <c r="V46" s="184"/>
      <c r="W46" s="191"/>
      <c r="X46" s="192"/>
      <c r="Y46" s="101"/>
      <c r="Z46" s="102"/>
    </row>
    <row r="47" spans="1:26" s="2" customFormat="1" ht="22.5" customHeight="1" x14ac:dyDescent="0.2">
      <c r="A47" s="17">
        <v>24</v>
      </c>
      <c r="B47" s="86"/>
      <c r="C47" s="87"/>
      <c r="D47" s="87"/>
      <c r="E47" s="87"/>
      <c r="F47" s="87"/>
      <c r="G47" s="87"/>
      <c r="H47" s="87"/>
      <c r="I47" s="87"/>
      <c r="J47" s="88"/>
      <c r="K47" s="115" t="s">
        <v>36</v>
      </c>
      <c r="L47" s="115"/>
      <c r="M47" s="178"/>
      <c r="N47" s="127"/>
      <c r="O47" s="180"/>
      <c r="P47" s="185"/>
      <c r="Q47" s="186"/>
      <c r="R47" s="186"/>
      <c r="S47" s="186"/>
      <c r="T47" s="186"/>
      <c r="U47" s="186"/>
      <c r="V47" s="187"/>
      <c r="W47" s="191"/>
      <c r="X47" s="192"/>
      <c r="Y47" s="101"/>
      <c r="Z47" s="102"/>
    </row>
    <row r="48" spans="1:26" s="2" customFormat="1" ht="22.5" customHeight="1" x14ac:dyDescent="0.2">
      <c r="A48" s="17">
        <v>25</v>
      </c>
      <c r="B48" s="86"/>
      <c r="C48" s="87"/>
      <c r="D48" s="87"/>
      <c r="E48" s="87"/>
      <c r="F48" s="87"/>
      <c r="G48" s="87"/>
      <c r="H48" s="87"/>
      <c r="I48" s="87"/>
      <c r="J48" s="88"/>
      <c r="K48" s="115" t="s">
        <v>37</v>
      </c>
      <c r="L48" s="115"/>
      <c r="M48" s="193">
        <f>M46*1.1</f>
        <v>0.72600000000000009</v>
      </c>
      <c r="N48" s="127"/>
      <c r="O48" s="180"/>
      <c r="P48" s="185"/>
      <c r="Q48" s="186"/>
      <c r="R48" s="186"/>
      <c r="S48" s="186"/>
      <c r="T48" s="186"/>
      <c r="U48" s="186"/>
      <c r="V48" s="187"/>
      <c r="W48" s="191"/>
      <c r="X48" s="192"/>
      <c r="Y48" s="101"/>
      <c r="Z48" s="102"/>
    </row>
    <row r="49" spans="1:26" s="2" customFormat="1" ht="22.5" customHeight="1" x14ac:dyDescent="0.2">
      <c r="A49" s="17">
        <v>26</v>
      </c>
      <c r="B49" s="89"/>
      <c r="C49" s="90"/>
      <c r="D49" s="90"/>
      <c r="E49" s="90"/>
      <c r="F49" s="90"/>
      <c r="G49" s="90"/>
      <c r="H49" s="90"/>
      <c r="I49" s="90"/>
      <c r="J49" s="91"/>
      <c r="K49" s="115" t="s">
        <v>38</v>
      </c>
      <c r="L49" s="115"/>
      <c r="M49" s="194"/>
      <c r="N49" s="112"/>
      <c r="O49" s="181"/>
      <c r="P49" s="188"/>
      <c r="Q49" s="189"/>
      <c r="R49" s="189"/>
      <c r="S49" s="189"/>
      <c r="T49" s="189"/>
      <c r="U49" s="189"/>
      <c r="V49" s="190"/>
      <c r="W49" s="191"/>
      <c r="X49" s="192"/>
      <c r="Y49" s="101"/>
      <c r="Z49" s="102"/>
    </row>
    <row r="50" spans="1:26" s="2" customFormat="1" ht="22.5" customHeight="1" x14ac:dyDescent="0.2">
      <c r="A50" s="17">
        <v>27</v>
      </c>
      <c r="B50" s="83" t="s">
        <v>60</v>
      </c>
      <c r="C50" s="84"/>
      <c r="D50" s="84"/>
      <c r="E50" s="84"/>
      <c r="F50" s="84"/>
      <c r="G50" s="84"/>
      <c r="H50" s="84"/>
      <c r="I50" s="84"/>
      <c r="J50" s="84"/>
      <c r="K50" s="115" t="s">
        <v>35</v>
      </c>
      <c r="L50" s="115"/>
      <c r="M50" s="177">
        <v>7.63</v>
      </c>
      <c r="N50" s="109" t="s">
        <v>80</v>
      </c>
      <c r="O50" s="179" t="s">
        <v>22</v>
      </c>
      <c r="P50" s="177">
        <f>MAX((M50*0.01),(0.005))</f>
        <v>7.6300000000000007E-2</v>
      </c>
      <c r="Q50" s="196"/>
      <c r="R50" s="196"/>
      <c r="S50" s="196"/>
      <c r="T50" s="196"/>
      <c r="U50" s="196"/>
      <c r="V50" s="197"/>
      <c r="W50" s="202"/>
      <c r="X50" s="203"/>
      <c r="Y50" s="101"/>
      <c r="Z50" s="102"/>
    </row>
    <row r="51" spans="1:26" s="2" customFormat="1" ht="22.5" customHeight="1" x14ac:dyDescent="0.2">
      <c r="A51" s="17">
        <v>28</v>
      </c>
      <c r="B51" s="86"/>
      <c r="C51" s="87"/>
      <c r="D51" s="87"/>
      <c r="E51" s="87"/>
      <c r="F51" s="87"/>
      <c r="G51" s="87"/>
      <c r="H51" s="87"/>
      <c r="I51" s="87"/>
      <c r="J51" s="87"/>
      <c r="K51" s="115" t="s">
        <v>36</v>
      </c>
      <c r="L51" s="115"/>
      <c r="M51" s="178"/>
      <c r="N51" s="127"/>
      <c r="O51" s="180"/>
      <c r="P51" s="178"/>
      <c r="Q51" s="198"/>
      <c r="R51" s="198"/>
      <c r="S51" s="198"/>
      <c r="T51" s="198"/>
      <c r="U51" s="198"/>
      <c r="V51" s="199"/>
      <c r="W51" s="202"/>
      <c r="X51" s="203"/>
      <c r="Y51" s="101"/>
      <c r="Z51" s="102"/>
    </row>
    <row r="52" spans="1:26" s="2" customFormat="1" ht="22.5" customHeight="1" x14ac:dyDescent="0.2">
      <c r="A52" s="17">
        <v>29</v>
      </c>
      <c r="B52" s="86"/>
      <c r="C52" s="87"/>
      <c r="D52" s="87"/>
      <c r="E52" s="87"/>
      <c r="F52" s="87"/>
      <c r="G52" s="87"/>
      <c r="H52" s="87"/>
      <c r="I52" s="87"/>
      <c r="J52" s="87"/>
      <c r="K52" s="115" t="s">
        <v>37</v>
      </c>
      <c r="L52" s="115"/>
      <c r="M52" s="178"/>
      <c r="N52" s="127"/>
      <c r="O52" s="180"/>
      <c r="P52" s="178"/>
      <c r="Q52" s="198"/>
      <c r="R52" s="198"/>
      <c r="S52" s="198"/>
      <c r="T52" s="198"/>
      <c r="U52" s="198"/>
      <c r="V52" s="199"/>
      <c r="W52" s="202"/>
      <c r="X52" s="203"/>
      <c r="Y52" s="101"/>
      <c r="Z52" s="102"/>
    </row>
    <row r="53" spans="1:26" s="2" customFormat="1" ht="22.5" customHeight="1" x14ac:dyDescent="0.2">
      <c r="A53" s="17">
        <v>30</v>
      </c>
      <c r="B53" s="89"/>
      <c r="C53" s="90"/>
      <c r="D53" s="90"/>
      <c r="E53" s="90"/>
      <c r="F53" s="90"/>
      <c r="G53" s="90"/>
      <c r="H53" s="90"/>
      <c r="I53" s="90"/>
      <c r="J53" s="90"/>
      <c r="K53" s="115" t="s">
        <v>38</v>
      </c>
      <c r="L53" s="115"/>
      <c r="M53" s="195"/>
      <c r="N53" s="112"/>
      <c r="O53" s="181"/>
      <c r="P53" s="195"/>
      <c r="Q53" s="200"/>
      <c r="R53" s="200"/>
      <c r="S53" s="200"/>
      <c r="T53" s="200"/>
      <c r="U53" s="200"/>
      <c r="V53" s="201"/>
      <c r="W53" s="202"/>
      <c r="X53" s="203"/>
      <c r="Y53" s="101"/>
      <c r="Z53" s="102"/>
    </row>
    <row r="54" spans="1:26" s="2" customFormat="1" ht="22.5" customHeight="1" x14ac:dyDescent="0.2">
      <c r="A54" s="17">
        <v>31</v>
      </c>
      <c r="B54" s="83" t="s">
        <v>23</v>
      </c>
      <c r="C54" s="84"/>
      <c r="D54" s="84"/>
      <c r="E54" s="84"/>
      <c r="F54" s="84"/>
      <c r="G54" s="84"/>
      <c r="H54" s="84"/>
      <c r="I54" s="84"/>
      <c r="J54" s="84"/>
      <c r="K54" s="115" t="s">
        <v>35</v>
      </c>
      <c r="L54" s="115"/>
      <c r="M54" s="177" t="s">
        <v>55</v>
      </c>
      <c r="N54" s="197"/>
      <c r="O54" s="179" t="s">
        <v>22</v>
      </c>
      <c r="P54" s="177" t="s">
        <v>81</v>
      </c>
      <c r="Q54" s="196"/>
      <c r="R54" s="196"/>
      <c r="S54" s="196"/>
      <c r="T54" s="196"/>
      <c r="U54" s="196"/>
      <c r="V54" s="197"/>
      <c r="W54" s="116"/>
      <c r="X54" s="117"/>
      <c r="Y54" s="101"/>
      <c r="Z54" s="102"/>
    </row>
    <row r="55" spans="1:26" s="2" customFormat="1" ht="22.5" customHeight="1" x14ac:dyDescent="0.65">
      <c r="A55" s="17">
        <v>32</v>
      </c>
      <c r="B55" s="86"/>
      <c r="C55" s="87"/>
      <c r="D55" s="87"/>
      <c r="E55" s="87"/>
      <c r="F55" s="87"/>
      <c r="G55" s="87"/>
      <c r="H55" s="87"/>
      <c r="I55" s="87"/>
      <c r="J55" s="87"/>
      <c r="K55" s="115" t="s">
        <v>36</v>
      </c>
      <c r="L55" s="115"/>
      <c r="M55" s="178"/>
      <c r="N55" s="199"/>
      <c r="O55" s="180"/>
      <c r="P55" s="178"/>
      <c r="Q55" s="198"/>
      <c r="R55" s="198"/>
      <c r="S55" s="198"/>
      <c r="T55" s="198"/>
      <c r="U55" s="198"/>
      <c r="V55" s="199"/>
      <c r="W55" s="204"/>
      <c r="X55" s="205"/>
      <c r="Y55" s="81"/>
      <c r="Z55" s="82"/>
    </row>
    <row r="56" spans="1:26" s="2" customFormat="1" ht="22.5" customHeight="1" x14ac:dyDescent="0.65">
      <c r="A56" s="17">
        <v>33</v>
      </c>
      <c r="B56" s="86"/>
      <c r="C56" s="87"/>
      <c r="D56" s="87"/>
      <c r="E56" s="87"/>
      <c r="F56" s="87"/>
      <c r="G56" s="87"/>
      <c r="H56" s="87"/>
      <c r="I56" s="87"/>
      <c r="J56" s="87"/>
      <c r="K56" s="115" t="s">
        <v>37</v>
      </c>
      <c r="L56" s="115"/>
      <c r="M56" s="178"/>
      <c r="N56" s="199"/>
      <c r="O56" s="180"/>
      <c r="P56" s="178"/>
      <c r="Q56" s="198"/>
      <c r="R56" s="198"/>
      <c r="S56" s="198"/>
      <c r="T56" s="198"/>
      <c r="U56" s="198"/>
      <c r="V56" s="199"/>
      <c r="W56" s="204"/>
      <c r="X56" s="205"/>
      <c r="Y56" s="81"/>
      <c r="Z56" s="82"/>
    </row>
    <row r="57" spans="1:26" s="2" customFormat="1" ht="22.5" customHeight="1" x14ac:dyDescent="0.65">
      <c r="A57" s="17">
        <v>34</v>
      </c>
      <c r="B57" s="89"/>
      <c r="C57" s="90"/>
      <c r="D57" s="90"/>
      <c r="E57" s="90"/>
      <c r="F57" s="90"/>
      <c r="G57" s="90"/>
      <c r="H57" s="90"/>
      <c r="I57" s="90"/>
      <c r="J57" s="90"/>
      <c r="K57" s="115" t="s">
        <v>38</v>
      </c>
      <c r="L57" s="115"/>
      <c r="M57" s="195"/>
      <c r="N57" s="201"/>
      <c r="O57" s="181"/>
      <c r="P57" s="195"/>
      <c r="Q57" s="200"/>
      <c r="R57" s="200"/>
      <c r="S57" s="200"/>
      <c r="T57" s="200"/>
      <c r="U57" s="200"/>
      <c r="V57" s="201"/>
      <c r="W57" s="204"/>
      <c r="X57" s="205"/>
      <c r="Y57" s="81"/>
      <c r="Z57" s="82"/>
    </row>
    <row r="58" spans="1:26" s="2" customFormat="1" ht="22.5" customHeight="1" x14ac:dyDescent="0.2">
      <c r="A58" s="17">
        <v>35</v>
      </c>
      <c r="B58" s="41" t="s">
        <v>73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3"/>
    </row>
    <row r="59" spans="1:26" s="2" customFormat="1" ht="22.5" customHeight="1" x14ac:dyDescent="0.2">
      <c r="A59" s="17">
        <v>36</v>
      </c>
      <c r="B59" s="83" t="s">
        <v>33</v>
      </c>
      <c r="C59" s="84"/>
      <c r="D59" s="84"/>
      <c r="E59" s="84"/>
      <c r="F59" s="84"/>
      <c r="G59" s="84"/>
      <c r="H59" s="84"/>
      <c r="I59" s="84"/>
      <c r="J59" s="85"/>
      <c r="K59" s="115" t="s">
        <v>39</v>
      </c>
      <c r="L59" s="115"/>
      <c r="M59" s="177">
        <v>0.1</v>
      </c>
      <c r="N59" s="109" t="s">
        <v>80</v>
      </c>
      <c r="O59" s="179" t="s">
        <v>22</v>
      </c>
      <c r="P59" s="206">
        <f>MAX((M61*0.01),(0.005))</f>
        <v>5.0000000000000001E-3</v>
      </c>
      <c r="Q59" s="207"/>
      <c r="R59" s="207"/>
      <c r="S59" s="207"/>
      <c r="T59" s="207"/>
      <c r="U59" s="207"/>
      <c r="V59" s="208"/>
      <c r="W59" s="191"/>
      <c r="X59" s="192"/>
      <c r="Y59" s="101"/>
      <c r="Z59" s="102"/>
    </row>
    <row r="60" spans="1:26" s="2" customFormat="1" ht="22.5" customHeight="1" x14ac:dyDescent="0.2">
      <c r="A60" s="17">
        <v>37</v>
      </c>
      <c r="B60" s="86"/>
      <c r="C60" s="87"/>
      <c r="D60" s="87"/>
      <c r="E60" s="87"/>
      <c r="F60" s="87"/>
      <c r="G60" s="87"/>
      <c r="H60" s="87"/>
      <c r="I60" s="87"/>
      <c r="J60" s="88"/>
      <c r="K60" s="115" t="s">
        <v>40</v>
      </c>
      <c r="L60" s="115"/>
      <c r="M60" s="178"/>
      <c r="N60" s="127"/>
      <c r="O60" s="180"/>
      <c r="P60" s="193"/>
      <c r="Q60" s="209"/>
      <c r="R60" s="209"/>
      <c r="S60" s="209"/>
      <c r="T60" s="209"/>
      <c r="U60" s="209"/>
      <c r="V60" s="210"/>
      <c r="W60" s="191"/>
      <c r="X60" s="192"/>
      <c r="Y60" s="101"/>
      <c r="Z60" s="102"/>
    </row>
    <row r="61" spans="1:26" s="2" customFormat="1" ht="22.5" customHeight="1" x14ac:dyDescent="0.2">
      <c r="A61" s="17">
        <v>38</v>
      </c>
      <c r="B61" s="86"/>
      <c r="C61" s="87"/>
      <c r="D61" s="87"/>
      <c r="E61" s="87"/>
      <c r="F61" s="87"/>
      <c r="G61" s="87"/>
      <c r="H61" s="87"/>
      <c r="I61" s="87"/>
      <c r="J61" s="88"/>
      <c r="K61" s="115" t="s">
        <v>41</v>
      </c>
      <c r="L61" s="115"/>
      <c r="M61" s="18">
        <f>M59*1.1</f>
        <v>0.11000000000000001</v>
      </c>
      <c r="N61" s="127"/>
      <c r="O61" s="180"/>
      <c r="P61" s="193"/>
      <c r="Q61" s="209"/>
      <c r="R61" s="209"/>
      <c r="S61" s="209"/>
      <c r="T61" s="209"/>
      <c r="U61" s="209"/>
      <c r="V61" s="210"/>
      <c r="W61" s="191"/>
      <c r="X61" s="192"/>
      <c r="Y61" s="101"/>
      <c r="Z61" s="102"/>
    </row>
    <row r="62" spans="1:26" s="2" customFormat="1" ht="22.5" customHeight="1" x14ac:dyDescent="0.2">
      <c r="A62" s="17">
        <v>39</v>
      </c>
      <c r="B62" s="83" t="s">
        <v>34</v>
      </c>
      <c r="C62" s="84"/>
      <c r="D62" s="84"/>
      <c r="E62" s="84"/>
      <c r="F62" s="84"/>
      <c r="G62" s="84"/>
      <c r="H62" s="84"/>
      <c r="I62" s="84"/>
      <c r="J62" s="84"/>
      <c r="K62" s="115" t="s">
        <v>39</v>
      </c>
      <c r="L62" s="115"/>
      <c r="M62" s="177">
        <v>1.36</v>
      </c>
      <c r="N62" s="109" t="s">
        <v>80</v>
      </c>
      <c r="O62" s="179" t="s">
        <v>22</v>
      </c>
      <c r="P62" s="206">
        <f>MAX((M62*0.01),(0.005))</f>
        <v>1.3600000000000001E-2</v>
      </c>
      <c r="Q62" s="207"/>
      <c r="R62" s="207"/>
      <c r="S62" s="207"/>
      <c r="T62" s="207"/>
      <c r="U62" s="207"/>
      <c r="V62" s="208"/>
      <c r="W62" s="191"/>
      <c r="X62" s="192"/>
      <c r="Y62" s="101"/>
      <c r="Z62" s="102"/>
    </row>
    <row r="63" spans="1:26" s="2" customFormat="1" ht="22.5" customHeight="1" x14ac:dyDescent="0.2">
      <c r="A63" s="17">
        <v>40</v>
      </c>
      <c r="B63" s="86"/>
      <c r="C63" s="87"/>
      <c r="D63" s="87"/>
      <c r="E63" s="87"/>
      <c r="F63" s="87"/>
      <c r="G63" s="87"/>
      <c r="H63" s="87"/>
      <c r="I63" s="87"/>
      <c r="J63" s="87"/>
      <c r="K63" s="115" t="s">
        <v>40</v>
      </c>
      <c r="L63" s="115"/>
      <c r="M63" s="178"/>
      <c r="N63" s="127"/>
      <c r="O63" s="180"/>
      <c r="P63" s="193"/>
      <c r="Q63" s="209"/>
      <c r="R63" s="209"/>
      <c r="S63" s="209"/>
      <c r="T63" s="209"/>
      <c r="U63" s="209"/>
      <c r="V63" s="210"/>
      <c r="W63" s="191"/>
      <c r="X63" s="192"/>
      <c r="Y63" s="101"/>
      <c r="Z63" s="102"/>
    </row>
    <row r="64" spans="1:26" s="2" customFormat="1" ht="22.5" customHeight="1" x14ac:dyDescent="0.2">
      <c r="A64" s="17">
        <v>41</v>
      </c>
      <c r="B64" s="86"/>
      <c r="C64" s="87"/>
      <c r="D64" s="87"/>
      <c r="E64" s="87"/>
      <c r="F64" s="87"/>
      <c r="G64" s="87"/>
      <c r="H64" s="87"/>
      <c r="I64" s="87"/>
      <c r="J64" s="87"/>
      <c r="K64" s="115" t="s">
        <v>41</v>
      </c>
      <c r="L64" s="115"/>
      <c r="M64" s="178"/>
      <c r="N64" s="127"/>
      <c r="O64" s="180"/>
      <c r="P64" s="193"/>
      <c r="Q64" s="209"/>
      <c r="R64" s="209"/>
      <c r="S64" s="209"/>
      <c r="T64" s="209"/>
      <c r="U64" s="209"/>
      <c r="V64" s="210"/>
      <c r="W64" s="191"/>
      <c r="X64" s="192"/>
      <c r="Y64" s="101"/>
      <c r="Z64" s="102"/>
    </row>
    <row r="65" spans="1:26" s="2" customFormat="1" ht="22.5" customHeight="1" x14ac:dyDescent="0.2">
      <c r="A65" s="17">
        <v>42</v>
      </c>
      <c r="B65" s="83" t="s">
        <v>23</v>
      </c>
      <c r="C65" s="84"/>
      <c r="D65" s="84"/>
      <c r="E65" s="84"/>
      <c r="F65" s="84"/>
      <c r="G65" s="84"/>
      <c r="H65" s="84"/>
      <c r="I65" s="84"/>
      <c r="J65" s="84"/>
      <c r="K65" s="115" t="s">
        <v>39</v>
      </c>
      <c r="L65" s="115"/>
      <c r="M65" s="177" t="s">
        <v>55</v>
      </c>
      <c r="N65" s="197"/>
      <c r="O65" s="179" t="s">
        <v>22</v>
      </c>
      <c r="P65" s="177" t="s">
        <v>81</v>
      </c>
      <c r="Q65" s="196"/>
      <c r="R65" s="196"/>
      <c r="S65" s="196"/>
      <c r="T65" s="196"/>
      <c r="U65" s="196"/>
      <c r="V65" s="197"/>
      <c r="W65" s="116"/>
      <c r="X65" s="117"/>
      <c r="Y65" s="101"/>
      <c r="Z65" s="102"/>
    </row>
    <row r="66" spans="1:26" s="2" customFormat="1" ht="22.5" customHeight="1" x14ac:dyDescent="0.65">
      <c r="A66" s="17">
        <v>43</v>
      </c>
      <c r="B66" s="86"/>
      <c r="C66" s="87"/>
      <c r="D66" s="87"/>
      <c r="E66" s="87"/>
      <c r="F66" s="87"/>
      <c r="G66" s="87"/>
      <c r="H66" s="87"/>
      <c r="I66" s="87"/>
      <c r="J66" s="87"/>
      <c r="K66" s="115" t="s">
        <v>40</v>
      </c>
      <c r="L66" s="115"/>
      <c r="M66" s="178"/>
      <c r="N66" s="199"/>
      <c r="O66" s="180"/>
      <c r="P66" s="178"/>
      <c r="Q66" s="198"/>
      <c r="R66" s="198"/>
      <c r="S66" s="198"/>
      <c r="T66" s="198"/>
      <c r="U66" s="198"/>
      <c r="V66" s="199"/>
      <c r="W66" s="204"/>
      <c r="X66" s="205"/>
      <c r="Y66" s="81"/>
      <c r="Z66" s="82"/>
    </row>
    <row r="67" spans="1:26" s="2" customFormat="1" ht="22.5" customHeight="1" x14ac:dyDescent="0.65">
      <c r="A67" s="17">
        <v>44</v>
      </c>
      <c r="B67" s="86"/>
      <c r="C67" s="87"/>
      <c r="D67" s="87"/>
      <c r="E67" s="87"/>
      <c r="F67" s="87"/>
      <c r="G67" s="87"/>
      <c r="H67" s="87"/>
      <c r="I67" s="87"/>
      <c r="J67" s="87"/>
      <c r="K67" s="115" t="s">
        <v>41</v>
      </c>
      <c r="L67" s="115"/>
      <c r="M67" s="178"/>
      <c r="N67" s="199"/>
      <c r="O67" s="180"/>
      <c r="P67" s="178"/>
      <c r="Q67" s="198"/>
      <c r="R67" s="198"/>
      <c r="S67" s="198"/>
      <c r="T67" s="198"/>
      <c r="U67" s="198"/>
      <c r="V67" s="199"/>
      <c r="W67" s="204"/>
      <c r="X67" s="205"/>
      <c r="Y67" s="81"/>
      <c r="Z67" s="82"/>
    </row>
    <row r="68" spans="1:26" s="2" customFormat="1" ht="22.5" customHeight="1" x14ac:dyDescent="0.2">
      <c r="A68" s="17">
        <v>45</v>
      </c>
      <c r="B68" s="41" t="s">
        <v>74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3"/>
    </row>
    <row r="69" spans="1:26" s="2" customFormat="1" ht="22.5" customHeight="1" x14ac:dyDescent="0.65">
      <c r="A69" s="17">
        <v>46</v>
      </c>
      <c r="B69" s="49" t="s">
        <v>76</v>
      </c>
      <c r="C69" s="50"/>
      <c r="D69" s="50"/>
      <c r="E69" s="50"/>
      <c r="F69" s="50"/>
      <c r="G69" s="50"/>
      <c r="H69" s="50"/>
      <c r="I69" s="50"/>
      <c r="J69" s="51"/>
      <c r="K69" s="44" t="s">
        <v>75</v>
      </c>
      <c r="L69" s="44"/>
      <c r="M69" s="52">
        <v>2</v>
      </c>
      <c r="N69" s="53"/>
      <c r="O69" s="27" t="s">
        <v>22</v>
      </c>
      <c r="P69" s="53">
        <f>MAX((M69*0.01),(0.005))</f>
        <v>0.02</v>
      </c>
      <c r="Q69" s="53"/>
      <c r="R69" s="53"/>
      <c r="S69" s="53"/>
      <c r="T69" s="53"/>
      <c r="U69" s="53"/>
      <c r="V69" s="54"/>
      <c r="W69" s="45"/>
      <c r="X69" s="46"/>
      <c r="Y69" s="47"/>
      <c r="Z69" s="48"/>
    </row>
    <row r="70" spans="1:26" s="2" customFormat="1" ht="22.5" customHeight="1" x14ac:dyDescent="0.65">
      <c r="A70" s="17">
        <v>47</v>
      </c>
      <c r="B70" s="49" t="s">
        <v>77</v>
      </c>
      <c r="C70" s="50"/>
      <c r="D70" s="50"/>
      <c r="E70" s="50"/>
      <c r="F70" s="50"/>
      <c r="G70" s="50"/>
      <c r="H70" s="50"/>
      <c r="I70" s="50"/>
      <c r="J70" s="51"/>
      <c r="K70" s="44" t="s">
        <v>75</v>
      </c>
      <c r="L70" s="44"/>
      <c r="M70" s="52" t="s">
        <v>55</v>
      </c>
      <c r="N70" s="53"/>
      <c r="O70" s="27" t="s">
        <v>22</v>
      </c>
      <c r="P70" s="53" t="s">
        <v>78</v>
      </c>
      <c r="Q70" s="53"/>
      <c r="R70" s="53"/>
      <c r="S70" s="53"/>
      <c r="T70" s="53"/>
      <c r="U70" s="53"/>
      <c r="V70" s="54"/>
      <c r="W70" s="45"/>
      <c r="X70" s="46"/>
      <c r="Y70" s="47"/>
      <c r="Z70" s="48"/>
    </row>
    <row r="71" spans="1:26" s="2" customFormat="1" ht="22.5" customHeight="1" x14ac:dyDescent="0.2">
      <c r="A71" s="17">
        <v>48</v>
      </c>
      <c r="B71" s="41" t="s">
        <v>19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3"/>
    </row>
    <row r="72" spans="1:26" s="2" customFormat="1" ht="22.5" customHeight="1" x14ac:dyDescent="0.2">
      <c r="A72" s="17">
        <v>49</v>
      </c>
      <c r="B72" s="78" t="s">
        <v>58</v>
      </c>
      <c r="C72" s="79"/>
      <c r="D72" s="79"/>
      <c r="E72" s="79"/>
      <c r="F72" s="79"/>
      <c r="G72" s="79"/>
      <c r="H72" s="79"/>
      <c r="I72" s="79"/>
      <c r="J72" s="79"/>
      <c r="K72" s="79"/>
      <c r="L72" s="80"/>
      <c r="M72" s="19">
        <v>0.53</v>
      </c>
      <c r="N72" s="21" t="s">
        <v>80</v>
      </c>
      <c r="O72" s="20" t="s">
        <v>22</v>
      </c>
      <c r="P72" s="134">
        <f>MAX((M72*0.02),(1*0.01))</f>
        <v>1.06E-2</v>
      </c>
      <c r="Q72" s="135"/>
      <c r="R72" s="135"/>
      <c r="S72" s="135"/>
      <c r="T72" s="135"/>
      <c r="U72" s="135"/>
      <c r="V72" s="136"/>
      <c r="W72" s="191"/>
      <c r="X72" s="192"/>
      <c r="Y72" s="101"/>
      <c r="Z72" s="102"/>
    </row>
    <row r="73" spans="1:26" s="2" customFormat="1" ht="22.5" customHeight="1" x14ac:dyDescent="0.2">
      <c r="A73" s="17">
        <v>50</v>
      </c>
      <c r="B73" s="78" t="s">
        <v>59</v>
      </c>
      <c r="C73" s="79"/>
      <c r="D73" s="79"/>
      <c r="E73" s="79"/>
      <c r="F73" s="79"/>
      <c r="G73" s="79"/>
      <c r="H73" s="79"/>
      <c r="I73" s="79"/>
      <c r="J73" s="79"/>
      <c r="K73" s="79"/>
      <c r="L73" s="80"/>
      <c r="M73" s="19">
        <v>0.1</v>
      </c>
      <c r="N73" s="21" t="s">
        <v>80</v>
      </c>
      <c r="O73" s="20" t="s">
        <v>22</v>
      </c>
      <c r="P73" s="134">
        <f>MAX((M73*0.02),(1*0.01))</f>
        <v>0.01</v>
      </c>
      <c r="Q73" s="135"/>
      <c r="R73" s="135"/>
      <c r="S73" s="135"/>
      <c r="T73" s="135"/>
      <c r="U73" s="135"/>
      <c r="V73" s="136"/>
      <c r="W73" s="191"/>
      <c r="X73" s="192"/>
      <c r="Y73" s="101"/>
      <c r="Z73" s="102"/>
    </row>
    <row r="74" spans="1:26" s="2" customFormat="1" ht="22.5" customHeight="1" x14ac:dyDescent="0.2">
      <c r="A74" s="17">
        <v>51</v>
      </c>
      <c r="B74" s="78" t="s">
        <v>24</v>
      </c>
      <c r="C74" s="79"/>
      <c r="D74" s="79"/>
      <c r="E74" s="79"/>
      <c r="F74" s="79"/>
      <c r="G74" s="79"/>
      <c r="H74" s="79"/>
      <c r="I74" s="79"/>
      <c r="J74" s="79"/>
      <c r="K74" s="79"/>
      <c r="L74" s="80"/>
      <c r="M74" s="19">
        <v>200</v>
      </c>
      <c r="N74" s="21" t="s">
        <v>29</v>
      </c>
      <c r="O74" s="20" t="s">
        <v>22</v>
      </c>
      <c r="P74" s="134">
        <v>15</v>
      </c>
      <c r="Q74" s="135"/>
      <c r="R74" s="135"/>
      <c r="S74" s="135"/>
      <c r="T74" s="135"/>
      <c r="U74" s="135"/>
      <c r="V74" s="136"/>
      <c r="W74" s="191"/>
      <c r="X74" s="192"/>
      <c r="Y74" s="101"/>
      <c r="Z74" s="102"/>
    </row>
    <row r="75" spans="1:26" s="2" customFormat="1" ht="22.5" customHeight="1" x14ac:dyDescent="0.2">
      <c r="A75" s="17">
        <v>52</v>
      </c>
      <c r="B75" s="41" t="s">
        <v>26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3"/>
    </row>
    <row r="76" spans="1:26" s="2" customFormat="1" ht="22.5" customHeight="1" x14ac:dyDescent="0.65">
      <c r="A76" s="17">
        <v>53</v>
      </c>
      <c r="B76" s="78" t="s">
        <v>25</v>
      </c>
      <c r="C76" s="79"/>
      <c r="D76" s="79"/>
      <c r="E76" s="79"/>
      <c r="F76" s="79"/>
      <c r="G76" s="79"/>
      <c r="H76" s="79"/>
      <c r="I76" s="79"/>
      <c r="J76" s="79"/>
      <c r="K76" s="79"/>
      <c r="L76" s="80"/>
      <c r="M76" s="41" t="s">
        <v>27</v>
      </c>
      <c r="N76" s="42"/>
      <c r="O76" s="42"/>
      <c r="P76" s="42"/>
      <c r="Q76" s="42"/>
      <c r="R76" s="42"/>
      <c r="S76" s="42"/>
      <c r="T76" s="42"/>
      <c r="U76" s="42"/>
      <c r="V76" s="43"/>
      <c r="W76" s="81"/>
      <c r="X76" s="82"/>
      <c r="Y76" s="101"/>
      <c r="Z76" s="102"/>
    </row>
    <row r="77" spans="1:26" s="2" customFormat="1" ht="22.5" customHeight="1" x14ac:dyDescent="0.65">
      <c r="A77" s="17">
        <v>54</v>
      </c>
      <c r="B77" s="78" t="s">
        <v>56</v>
      </c>
      <c r="C77" s="79"/>
      <c r="D77" s="79"/>
      <c r="E77" s="79"/>
      <c r="F77" s="79"/>
      <c r="G77" s="79"/>
      <c r="H77" s="79"/>
      <c r="I77" s="79"/>
      <c r="J77" s="79"/>
      <c r="K77" s="79"/>
      <c r="L77" s="80"/>
      <c r="M77" s="41" t="s">
        <v>27</v>
      </c>
      <c r="N77" s="42"/>
      <c r="O77" s="42"/>
      <c r="P77" s="42"/>
      <c r="Q77" s="42"/>
      <c r="R77" s="42"/>
      <c r="S77" s="42"/>
      <c r="T77" s="42"/>
      <c r="U77" s="42"/>
      <c r="V77" s="43"/>
      <c r="W77" s="81"/>
      <c r="X77" s="82"/>
      <c r="Y77" s="101"/>
      <c r="Z77" s="102"/>
    </row>
    <row r="78" spans="1:26" ht="22.5" customHeight="1" x14ac:dyDescent="0.35">
      <c r="A78" s="17">
        <v>55</v>
      </c>
      <c r="B78" s="92" t="s">
        <v>42</v>
      </c>
      <c r="C78" s="93"/>
      <c r="D78" s="93"/>
      <c r="E78" s="93"/>
      <c r="F78" s="93"/>
      <c r="G78" s="93"/>
      <c r="H78" s="93"/>
      <c r="I78" s="93"/>
      <c r="J78" s="93"/>
      <c r="K78" s="93"/>
      <c r="L78" s="94"/>
      <c r="M78" s="95"/>
      <c r="N78" s="96"/>
      <c r="O78" s="96"/>
      <c r="P78" s="96"/>
      <c r="Q78" s="96"/>
      <c r="R78" s="96"/>
      <c r="S78" s="96"/>
      <c r="T78" s="96"/>
      <c r="U78" s="96"/>
      <c r="V78" s="97"/>
      <c r="W78" s="106"/>
      <c r="X78" s="106"/>
      <c r="Y78" s="106"/>
      <c r="Z78" s="106"/>
    </row>
    <row r="79" spans="1:26" ht="22.5" customHeight="1" x14ac:dyDescent="0.35">
      <c r="A79" s="17">
        <v>56</v>
      </c>
      <c r="B79" s="78"/>
      <c r="C79" s="79"/>
      <c r="D79" s="79"/>
      <c r="E79" s="79"/>
      <c r="F79" s="79"/>
      <c r="G79" s="79"/>
      <c r="H79" s="79"/>
      <c r="I79" s="79"/>
      <c r="J79" s="79"/>
      <c r="K79" s="79"/>
      <c r="L79" s="80"/>
      <c r="M79" s="41"/>
      <c r="N79" s="42"/>
      <c r="O79" s="42"/>
      <c r="P79" s="42"/>
      <c r="Q79" s="42"/>
      <c r="R79" s="42"/>
      <c r="S79" s="42"/>
      <c r="T79" s="42"/>
      <c r="U79" s="42"/>
      <c r="V79" s="43"/>
      <c r="W79" s="113"/>
      <c r="X79" s="114"/>
      <c r="Y79" s="115"/>
      <c r="Z79" s="115"/>
    </row>
    <row r="80" spans="1:26" ht="22.5" customHeight="1" x14ac:dyDescent="0.35">
      <c r="A80" s="17">
        <v>57</v>
      </c>
      <c r="B80" s="78"/>
      <c r="C80" s="79"/>
      <c r="D80" s="79"/>
      <c r="E80" s="79"/>
      <c r="F80" s="79"/>
      <c r="G80" s="79"/>
      <c r="H80" s="79"/>
      <c r="I80" s="79"/>
      <c r="J80" s="79"/>
      <c r="K80" s="79"/>
      <c r="L80" s="80"/>
      <c r="M80" s="41"/>
      <c r="N80" s="42"/>
      <c r="O80" s="42"/>
      <c r="P80" s="42"/>
      <c r="Q80" s="42"/>
      <c r="R80" s="42"/>
      <c r="S80" s="42"/>
      <c r="T80" s="42"/>
      <c r="U80" s="42"/>
      <c r="V80" s="43"/>
      <c r="W80" s="113"/>
      <c r="X80" s="114"/>
      <c r="Y80" s="115"/>
      <c r="Z80" s="115"/>
    </row>
    <row r="81" spans="1:26" ht="22.5" customHeight="1" x14ac:dyDescent="0.35">
      <c r="A81" s="17">
        <v>58</v>
      </c>
      <c r="B81" s="78"/>
      <c r="C81" s="79"/>
      <c r="D81" s="79"/>
      <c r="E81" s="79"/>
      <c r="F81" s="79"/>
      <c r="G81" s="79"/>
      <c r="H81" s="79"/>
      <c r="I81" s="79"/>
      <c r="J81" s="79"/>
      <c r="K81" s="79"/>
      <c r="L81" s="80"/>
      <c r="M81" s="41"/>
      <c r="N81" s="42"/>
      <c r="O81" s="42"/>
      <c r="P81" s="42"/>
      <c r="Q81" s="42"/>
      <c r="R81" s="42"/>
      <c r="S81" s="42"/>
      <c r="T81" s="42"/>
      <c r="U81" s="42"/>
      <c r="V81" s="43"/>
      <c r="W81" s="113"/>
      <c r="X81" s="114"/>
      <c r="Y81" s="115"/>
      <c r="Z81" s="115"/>
    </row>
    <row r="82" spans="1:26" ht="22.5" customHeight="1" x14ac:dyDescent="0.35">
      <c r="A82" s="17">
        <v>59</v>
      </c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80"/>
      <c r="M82" s="41"/>
      <c r="N82" s="42"/>
      <c r="O82" s="42"/>
      <c r="P82" s="42"/>
      <c r="Q82" s="42"/>
      <c r="R82" s="42"/>
      <c r="S82" s="42"/>
      <c r="T82" s="42"/>
      <c r="U82" s="42"/>
      <c r="V82" s="43"/>
      <c r="W82" s="113"/>
      <c r="X82" s="114"/>
      <c r="Y82" s="115"/>
      <c r="Z82" s="115"/>
    </row>
    <row r="83" spans="1:26" ht="22.5" customHeight="1" x14ac:dyDescent="0.35">
      <c r="A83" s="17">
        <v>60</v>
      </c>
      <c r="B83" s="78"/>
      <c r="C83" s="79"/>
      <c r="D83" s="79"/>
      <c r="E83" s="79"/>
      <c r="F83" s="79"/>
      <c r="G83" s="79"/>
      <c r="H83" s="79"/>
      <c r="I83" s="79"/>
      <c r="J83" s="79"/>
      <c r="K83" s="79"/>
      <c r="L83" s="80"/>
      <c r="M83" s="41"/>
      <c r="N83" s="42"/>
      <c r="O83" s="42"/>
      <c r="P83" s="42"/>
      <c r="Q83" s="42"/>
      <c r="R83" s="42"/>
      <c r="S83" s="42"/>
      <c r="T83" s="42"/>
      <c r="U83" s="42"/>
      <c r="V83" s="43"/>
      <c r="W83" s="113"/>
      <c r="X83" s="114"/>
      <c r="Y83" s="115"/>
      <c r="Z83" s="115"/>
    </row>
    <row r="84" spans="1:26" ht="22.5" customHeight="1" x14ac:dyDescent="0.35">
      <c r="A84" s="17">
        <v>61</v>
      </c>
      <c r="B84" s="78"/>
      <c r="C84" s="79"/>
      <c r="D84" s="79"/>
      <c r="E84" s="79"/>
      <c r="F84" s="79"/>
      <c r="G84" s="79"/>
      <c r="H84" s="79"/>
      <c r="I84" s="79"/>
      <c r="J84" s="79"/>
      <c r="K84" s="79"/>
      <c r="L84" s="80"/>
      <c r="M84" s="41"/>
      <c r="N84" s="42"/>
      <c r="O84" s="42"/>
      <c r="P84" s="42"/>
      <c r="Q84" s="42"/>
      <c r="R84" s="42"/>
      <c r="S84" s="42"/>
      <c r="T84" s="42"/>
      <c r="U84" s="42"/>
      <c r="V84" s="43"/>
      <c r="W84" s="113"/>
      <c r="X84" s="114"/>
      <c r="Y84" s="115"/>
      <c r="Z84" s="115"/>
    </row>
    <row r="85" spans="1:26" ht="22.5" customHeight="1" x14ac:dyDescent="0.35">
      <c r="A85" s="17">
        <v>62</v>
      </c>
      <c r="B85" s="78"/>
      <c r="C85" s="79"/>
      <c r="D85" s="79"/>
      <c r="E85" s="79"/>
      <c r="F85" s="79"/>
      <c r="G85" s="79"/>
      <c r="H85" s="79"/>
      <c r="I85" s="79"/>
      <c r="J85" s="79"/>
      <c r="K85" s="79"/>
      <c r="L85" s="80"/>
      <c r="M85" s="41"/>
      <c r="N85" s="42"/>
      <c r="O85" s="42"/>
      <c r="P85" s="42"/>
      <c r="Q85" s="42"/>
      <c r="R85" s="42"/>
      <c r="S85" s="42"/>
      <c r="T85" s="42"/>
      <c r="U85" s="42"/>
      <c r="V85" s="43"/>
      <c r="W85" s="113"/>
      <c r="X85" s="114"/>
      <c r="Y85" s="115"/>
      <c r="Z85" s="115"/>
    </row>
    <row r="86" spans="1:26" ht="22.5" customHeight="1" x14ac:dyDescent="0.35">
      <c r="A86" s="17">
        <v>63</v>
      </c>
      <c r="B86" s="78"/>
      <c r="C86" s="79"/>
      <c r="D86" s="79"/>
      <c r="E86" s="79"/>
      <c r="F86" s="79"/>
      <c r="G86" s="79"/>
      <c r="H86" s="79"/>
      <c r="I86" s="79"/>
      <c r="J86" s="79"/>
      <c r="K86" s="79"/>
      <c r="L86" s="80"/>
      <c r="M86" s="41"/>
      <c r="N86" s="42"/>
      <c r="O86" s="42"/>
      <c r="P86" s="42"/>
      <c r="Q86" s="42"/>
      <c r="R86" s="42"/>
      <c r="S86" s="42"/>
      <c r="T86" s="42"/>
      <c r="U86" s="42"/>
      <c r="V86" s="43"/>
      <c r="W86" s="113"/>
      <c r="X86" s="114"/>
      <c r="Y86" s="115"/>
      <c r="Z86" s="115"/>
    </row>
    <row r="87" spans="1:26" ht="22.5" customHeight="1" x14ac:dyDescent="0.35">
      <c r="A87" s="143" t="s">
        <v>16</v>
      </c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5"/>
    </row>
    <row r="88" spans="1:26" ht="22.5" customHeight="1" x14ac:dyDescent="0.35">
      <c r="A88" s="146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8"/>
    </row>
    <row r="89" spans="1:26" ht="22.5" customHeight="1" x14ac:dyDescent="0.35">
      <c r="A89" s="149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1"/>
    </row>
    <row r="90" spans="1:26" ht="22.5" customHeight="1" x14ac:dyDescent="0.35">
      <c r="A90" s="149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1"/>
    </row>
    <row r="91" spans="1:26" ht="22.5" customHeight="1" x14ac:dyDescent="0.35">
      <c r="A91" s="149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1"/>
    </row>
    <row r="92" spans="1:26" ht="22.15" customHeight="1" x14ac:dyDescent="0.35">
      <c r="A92" s="149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1"/>
    </row>
    <row r="93" spans="1:26" ht="22.15" customHeight="1" x14ac:dyDescent="0.35">
      <c r="A93" s="149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1"/>
    </row>
    <row r="94" spans="1:26" ht="22.15" customHeight="1" x14ac:dyDescent="0.35">
      <c r="A94" s="149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1"/>
    </row>
    <row r="95" spans="1:26" ht="22.15" customHeight="1" x14ac:dyDescent="0.35">
      <c r="A95" s="152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4"/>
    </row>
    <row r="96" spans="1:26" ht="22.15" customHeight="1" x14ac:dyDescent="0.35">
      <c r="A96" s="143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5"/>
    </row>
    <row r="97" spans="1:26" ht="22.15" customHeight="1" x14ac:dyDescent="0.35">
      <c r="A97" s="155" t="s">
        <v>57</v>
      </c>
      <c r="B97" s="156"/>
      <c r="C97" s="156"/>
      <c r="D97" s="156"/>
      <c r="E97" s="156"/>
      <c r="F97" s="157"/>
      <c r="G97" s="83"/>
      <c r="H97" s="84"/>
      <c r="I97" s="84"/>
      <c r="J97" s="84"/>
      <c r="K97" s="84"/>
      <c r="L97" s="84"/>
      <c r="M97" s="85"/>
      <c r="N97" s="22"/>
      <c r="O97" s="23"/>
      <c r="P97" s="23"/>
      <c r="Q97" s="23"/>
      <c r="R97" s="23"/>
      <c r="S97" s="23"/>
      <c r="T97" s="24"/>
      <c r="U97" s="24"/>
      <c r="V97" s="24"/>
      <c r="W97" s="24"/>
      <c r="X97" s="24"/>
      <c r="Y97" s="24"/>
      <c r="Z97" s="24"/>
    </row>
    <row r="98" spans="1:26" ht="22.15" customHeight="1" x14ac:dyDescent="0.35">
      <c r="A98" s="158"/>
      <c r="B98" s="159"/>
      <c r="C98" s="159"/>
      <c r="D98" s="159"/>
      <c r="E98" s="159"/>
      <c r="F98" s="160"/>
      <c r="G98" s="89"/>
      <c r="H98" s="90"/>
      <c r="I98" s="90"/>
      <c r="J98" s="90"/>
      <c r="K98" s="90"/>
      <c r="L98" s="90"/>
      <c r="M98" s="91"/>
      <c r="N98" s="25"/>
      <c r="O98" s="3"/>
      <c r="P98" s="3"/>
      <c r="Q98" s="3"/>
      <c r="R98" s="3"/>
      <c r="S98" s="3"/>
      <c r="T98" s="26"/>
      <c r="U98" s="26"/>
      <c r="V98" s="26"/>
      <c r="W98" s="26"/>
      <c r="X98" s="26"/>
      <c r="Y98" s="26"/>
      <c r="Z98" s="26"/>
    </row>
    <row r="99" spans="1:26" ht="22.15" customHeight="1" x14ac:dyDescent="0.35">
      <c r="A99" s="137" t="s">
        <v>8</v>
      </c>
      <c r="B99" s="138"/>
      <c r="C99" s="138"/>
      <c r="D99" s="138"/>
      <c r="E99" s="138"/>
      <c r="F99" s="139"/>
      <c r="G99" s="161"/>
      <c r="H99" s="162"/>
      <c r="I99" s="162"/>
      <c r="J99" s="162"/>
      <c r="K99" s="162"/>
      <c r="L99" s="162"/>
      <c r="M99" s="163"/>
      <c r="N99" s="25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22.15" customHeight="1" x14ac:dyDescent="0.35">
      <c r="A100" s="137" t="s">
        <v>5</v>
      </c>
      <c r="B100" s="138"/>
      <c r="C100" s="138"/>
      <c r="D100" s="138"/>
      <c r="E100" s="138"/>
      <c r="F100" s="139"/>
      <c r="G100" s="140"/>
      <c r="H100" s="141"/>
      <c r="I100" s="141"/>
      <c r="J100" s="141"/>
      <c r="K100" s="141"/>
      <c r="L100" s="141"/>
      <c r="M100" s="142"/>
      <c r="N100" s="25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</sheetData>
  <mergeCells count="286">
    <mergeCell ref="B75:Z75"/>
    <mergeCell ref="B76:L76"/>
    <mergeCell ref="M76:V76"/>
    <mergeCell ref="W76:X76"/>
    <mergeCell ref="Y76:Z76"/>
    <mergeCell ref="W72:X72"/>
    <mergeCell ref="Y72:Z72"/>
    <mergeCell ref="B73:L73"/>
    <mergeCell ref="P73:V73"/>
    <mergeCell ref="W73:X73"/>
    <mergeCell ref="Y73:Z73"/>
    <mergeCell ref="B74:L74"/>
    <mergeCell ref="P74:V74"/>
    <mergeCell ref="W74:X74"/>
    <mergeCell ref="Y74:Z74"/>
    <mergeCell ref="B65:J67"/>
    <mergeCell ref="K65:L65"/>
    <mergeCell ref="M65:N67"/>
    <mergeCell ref="O65:O67"/>
    <mergeCell ref="P65:V67"/>
    <mergeCell ref="W65:X65"/>
    <mergeCell ref="Y65:Z65"/>
    <mergeCell ref="K66:L66"/>
    <mergeCell ref="W66:X66"/>
    <mergeCell ref="Y66:Z66"/>
    <mergeCell ref="K67:L67"/>
    <mergeCell ref="W67:X67"/>
    <mergeCell ref="Y67:Z67"/>
    <mergeCell ref="B62:J64"/>
    <mergeCell ref="K62:L62"/>
    <mergeCell ref="M62:M64"/>
    <mergeCell ref="N62:N64"/>
    <mergeCell ref="O62:O64"/>
    <mergeCell ref="P62:V64"/>
    <mergeCell ref="W62:X62"/>
    <mergeCell ref="Y62:Z62"/>
    <mergeCell ref="K63:L63"/>
    <mergeCell ref="W63:X63"/>
    <mergeCell ref="Y63:Z63"/>
    <mergeCell ref="K64:L64"/>
    <mergeCell ref="W64:X64"/>
    <mergeCell ref="Y64:Z64"/>
    <mergeCell ref="B59:J61"/>
    <mergeCell ref="K59:L59"/>
    <mergeCell ref="M59:M60"/>
    <mergeCell ref="N59:N61"/>
    <mergeCell ref="O59:O61"/>
    <mergeCell ref="P59:V61"/>
    <mergeCell ref="W59:X59"/>
    <mergeCell ref="Y59:Z59"/>
    <mergeCell ref="K60:L60"/>
    <mergeCell ref="W60:X60"/>
    <mergeCell ref="Y60:Z60"/>
    <mergeCell ref="K61:L61"/>
    <mergeCell ref="W61:X61"/>
    <mergeCell ref="Y61:Z61"/>
    <mergeCell ref="B54:J57"/>
    <mergeCell ref="K54:L54"/>
    <mergeCell ref="M54:N57"/>
    <mergeCell ref="O54:O57"/>
    <mergeCell ref="P54:V57"/>
    <mergeCell ref="W54:X54"/>
    <mergeCell ref="Y54:Z54"/>
    <mergeCell ref="K55:L55"/>
    <mergeCell ref="W55:X55"/>
    <mergeCell ref="Y55:Z55"/>
    <mergeCell ref="K56:L56"/>
    <mergeCell ref="W56:X56"/>
    <mergeCell ref="Y56:Z56"/>
    <mergeCell ref="K57:L57"/>
    <mergeCell ref="W57:X57"/>
    <mergeCell ref="Y57:Z57"/>
    <mergeCell ref="K50:L50"/>
    <mergeCell ref="M50:M53"/>
    <mergeCell ref="N50:N53"/>
    <mergeCell ref="O50:O53"/>
    <mergeCell ref="P50:V53"/>
    <mergeCell ref="W50:X50"/>
    <mergeCell ref="Y50:Z50"/>
    <mergeCell ref="K51:L51"/>
    <mergeCell ref="W51:X51"/>
    <mergeCell ref="Y51:Z51"/>
    <mergeCell ref="K52:L52"/>
    <mergeCell ref="W52:X52"/>
    <mergeCell ref="Y52:Z52"/>
    <mergeCell ref="K53:L53"/>
    <mergeCell ref="W53:X53"/>
    <mergeCell ref="Y53:Z53"/>
    <mergeCell ref="B44:L44"/>
    <mergeCell ref="M44:V44"/>
    <mergeCell ref="W83:X83"/>
    <mergeCell ref="B45:Z45"/>
    <mergeCell ref="B46:J49"/>
    <mergeCell ref="K46:L46"/>
    <mergeCell ref="M46:M47"/>
    <mergeCell ref="N46:N49"/>
    <mergeCell ref="O46:O49"/>
    <mergeCell ref="P46:V49"/>
    <mergeCell ref="W46:X46"/>
    <mergeCell ref="Y46:Z46"/>
    <mergeCell ref="K47:L47"/>
    <mergeCell ref="W47:X47"/>
    <mergeCell ref="Y47:Z47"/>
    <mergeCell ref="K48:L48"/>
    <mergeCell ref="M48:M49"/>
    <mergeCell ref="W48:X48"/>
    <mergeCell ref="Y48:Z48"/>
    <mergeCell ref="K49:L49"/>
    <mergeCell ref="W49:X49"/>
    <mergeCell ref="Y49:Z49"/>
    <mergeCell ref="B58:Z58"/>
    <mergeCell ref="B50:J53"/>
    <mergeCell ref="B86:L86"/>
    <mergeCell ref="M86:V86"/>
    <mergeCell ref="W86:X86"/>
    <mergeCell ref="Y86:Z86"/>
    <mergeCell ref="Y83:Z83"/>
    <mergeCell ref="B84:L84"/>
    <mergeCell ref="M84:V84"/>
    <mergeCell ref="B37:L37"/>
    <mergeCell ref="M37:V37"/>
    <mergeCell ref="B38:L38"/>
    <mergeCell ref="B39:L42"/>
    <mergeCell ref="M78:V78"/>
    <mergeCell ref="W78:X78"/>
    <mergeCell ref="Y78:Z78"/>
    <mergeCell ref="B85:L85"/>
    <mergeCell ref="M85:V85"/>
    <mergeCell ref="W85:X85"/>
    <mergeCell ref="Y85:Z85"/>
    <mergeCell ref="B83:L83"/>
    <mergeCell ref="M83:V83"/>
    <mergeCell ref="B80:L80"/>
    <mergeCell ref="M80:V80"/>
    <mergeCell ref="W80:X80"/>
    <mergeCell ref="Y80:Z80"/>
    <mergeCell ref="A100:F100"/>
    <mergeCell ref="G100:M100"/>
    <mergeCell ref="A87:Z87"/>
    <mergeCell ref="A88:Z95"/>
    <mergeCell ref="A96:Z96"/>
    <mergeCell ref="A97:F98"/>
    <mergeCell ref="G97:M98"/>
    <mergeCell ref="A99:F99"/>
    <mergeCell ref="G99:M99"/>
    <mergeCell ref="K70:L70"/>
    <mergeCell ref="M70:N70"/>
    <mergeCell ref="P70:V70"/>
    <mergeCell ref="W70:X70"/>
    <mergeCell ref="Y70:Z70"/>
    <mergeCell ref="B79:L79"/>
    <mergeCell ref="B82:L82"/>
    <mergeCell ref="M82:V82"/>
    <mergeCell ref="W82:X82"/>
    <mergeCell ref="Y82:Z82"/>
    <mergeCell ref="M79:V79"/>
    <mergeCell ref="W79:X79"/>
    <mergeCell ref="Y79:Z79"/>
    <mergeCell ref="B81:L81"/>
    <mergeCell ref="M81:V81"/>
    <mergeCell ref="W81:X81"/>
    <mergeCell ref="Y81:Z81"/>
    <mergeCell ref="B71:Z71"/>
    <mergeCell ref="B77:L77"/>
    <mergeCell ref="M77:V77"/>
    <mergeCell ref="W77:X77"/>
    <mergeCell ref="Y77:Z77"/>
    <mergeCell ref="B72:L72"/>
    <mergeCell ref="P72:V72"/>
    <mergeCell ref="W84:X84"/>
    <mergeCell ref="Y84:Z84"/>
    <mergeCell ref="Y29:Z29"/>
    <mergeCell ref="Y24:Z24"/>
    <mergeCell ref="B25:L25"/>
    <mergeCell ref="M33:V33"/>
    <mergeCell ref="W33:X33"/>
    <mergeCell ref="Y34:Z34"/>
    <mergeCell ref="Y35:Z35"/>
    <mergeCell ref="M34:V34"/>
    <mergeCell ref="W34:X34"/>
    <mergeCell ref="M35:V35"/>
    <mergeCell ref="W35:X35"/>
    <mergeCell ref="Y33:Z33"/>
    <mergeCell ref="B78:L78"/>
    <mergeCell ref="W44:X44"/>
    <mergeCell ref="Y44:Z44"/>
    <mergeCell ref="Y37:Z37"/>
    <mergeCell ref="Y38:Z42"/>
    <mergeCell ref="W37:X37"/>
    <mergeCell ref="M38:V42"/>
    <mergeCell ref="W38:X42"/>
    <mergeCell ref="B43:Z43"/>
    <mergeCell ref="B70:J70"/>
    <mergeCell ref="M23:V23"/>
    <mergeCell ref="D17:F17"/>
    <mergeCell ref="G17:M17"/>
    <mergeCell ref="Y36:Z36"/>
    <mergeCell ref="Y26:Z26"/>
    <mergeCell ref="B27:L27"/>
    <mergeCell ref="M27:V27"/>
    <mergeCell ref="W27:X27"/>
    <mergeCell ref="Y27:Z27"/>
    <mergeCell ref="Y23:Z23"/>
    <mergeCell ref="B23:L23"/>
    <mergeCell ref="W23:X23"/>
    <mergeCell ref="Y30:Z30"/>
    <mergeCell ref="Y31:Z31"/>
    <mergeCell ref="B30:L30"/>
    <mergeCell ref="M30:V30"/>
    <mergeCell ref="W30:X30"/>
    <mergeCell ref="B31:L31"/>
    <mergeCell ref="W31:X31"/>
    <mergeCell ref="M31:V32"/>
    <mergeCell ref="Y32:Z32"/>
    <mergeCell ref="B32:L32"/>
    <mergeCell ref="W32:X32"/>
    <mergeCell ref="Y28:Z28"/>
    <mergeCell ref="G18:M18"/>
    <mergeCell ref="D19:F19"/>
    <mergeCell ref="G19:M19"/>
    <mergeCell ref="A20:F20"/>
    <mergeCell ref="G20:M20"/>
    <mergeCell ref="A21:F21"/>
    <mergeCell ref="G21:M21"/>
    <mergeCell ref="A16:C19"/>
    <mergeCell ref="D16:F16"/>
    <mergeCell ref="G16:M16"/>
    <mergeCell ref="Q16:S16"/>
    <mergeCell ref="T16:Z16"/>
    <mergeCell ref="A15:F15"/>
    <mergeCell ref="G15:M15"/>
    <mergeCell ref="B36:L36"/>
    <mergeCell ref="M36:V36"/>
    <mergeCell ref="W36:X36"/>
    <mergeCell ref="B33:L35"/>
    <mergeCell ref="B24:L24"/>
    <mergeCell ref="M24:V24"/>
    <mergeCell ref="W24:X24"/>
    <mergeCell ref="B28:L28"/>
    <mergeCell ref="M28:V28"/>
    <mergeCell ref="W28:X28"/>
    <mergeCell ref="B29:L29"/>
    <mergeCell ref="M29:V29"/>
    <mergeCell ref="W29:X29"/>
    <mergeCell ref="B26:L26"/>
    <mergeCell ref="M26:V26"/>
    <mergeCell ref="W26:X26"/>
    <mergeCell ref="M25:V25"/>
    <mergeCell ref="W25:X25"/>
    <mergeCell ref="Y25:Z25"/>
    <mergeCell ref="D18:F18"/>
    <mergeCell ref="A1:Z6"/>
    <mergeCell ref="A7:M8"/>
    <mergeCell ref="N7:Z8"/>
    <mergeCell ref="A9:F9"/>
    <mergeCell ref="G9:M9"/>
    <mergeCell ref="N9:S9"/>
    <mergeCell ref="T9:Z9"/>
    <mergeCell ref="A10:F10"/>
    <mergeCell ref="G10:M10"/>
    <mergeCell ref="N10:S10"/>
    <mergeCell ref="T10:Z10"/>
    <mergeCell ref="A11:F11"/>
    <mergeCell ref="G11:M11"/>
    <mergeCell ref="N11:S12"/>
    <mergeCell ref="T11:Z12"/>
    <mergeCell ref="A12:F12"/>
    <mergeCell ref="G12:M12"/>
    <mergeCell ref="B68:Z68"/>
    <mergeCell ref="K69:L69"/>
    <mergeCell ref="W69:X69"/>
    <mergeCell ref="Y69:Z69"/>
    <mergeCell ref="B69:J69"/>
    <mergeCell ref="M69:N69"/>
    <mergeCell ref="P69:V69"/>
    <mergeCell ref="A13:F13"/>
    <mergeCell ref="G13:M13"/>
    <mergeCell ref="A14:F14"/>
    <mergeCell ref="G14:M14"/>
    <mergeCell ref="N13:P16"/>
    <mergeCell ref="Q13:S13"/>
    <mergeCell ref="T13:Z13"/>
    <mergeCell ref="Q14:S14"/>
    <mergeCell ref="T14:Z14"/>
    <mergeCell ref="Q15:S15"/>
    <mergeCell ref="T15:Z15"/>
  </mergeCells>
  <dataValidations disablePrompts="1" count="1">
    <dataValidation type="list" allowBlank="1" showInputMessage="1" showErrorMessage="1" sqref="Y31:Z42 Y44:Z44 Y46:Z57 Y59:Z67 Y69:Z70 Y72:Z74 W31:X36 Y25:Z29 W76:Z77" xr:uid="{00000000-0002-0000-0000-000000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portrait" errors="blank" r:id="rId1"/>
  <headerFooter differentFirst="1">
    <oddHeader>&amp;C&amp;18FAT&amp;R&amp;18Inspection and Test Checklist</oddHeader>
    <oddFooter>&amp;L&amp;8&amp;F&amp;R&amp;8&amp;P/&amp;N</oddFooter>
    <firstHeader>&amp;C&amp;"Arial,Bold"&amp;18Inspection and Test Checklist</firstHeader>
    <firstFooter>&amp;CPage &amp;P</firstFooter>
  </headerFooter>
  <rowBreaks count="2" manualBreakCount="2">
    <brk id="36" max="25" man="1"/>
    <brk id="77" max="2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Number xmlns="852b4af4-9b0a-400f-8219-9efe483fa0d9" xsi:nil="true"/>
    <Project_x0020_Number xmlns="852b4af4-9b0a-400f-8219-9efe483fa0d9" xsi:nil="true"/>
    <Document_x0020_Type xmlns="852b4af4-9b0a-400f-8219-9efe483fa0d9" xsi:nil="true"/>
    <Project_x0020_Phase xmlns="852b4af4-9b0a-400f-8219-9efe483fa0d9">Tender</Project_x0020_Phase>
    <Document_x0020_Status xmlns="852b4af4-9b0a-400f-8219-9efe483fa0d9" xsi:nil="true"/>
    <Client xmlns="852b4af4-9b0a-400f-8219-9efe483fa0d9" xsi:nil="true"/>
    <Document_x0020_Approver xmlns="ebd27a46-ddf9-4355-94d6-8c5280a78982">
      <UserInfo>
        <DisplayName/>
        <AccountId xsi:nil="true"/>
        <AccountType/>
      </UserInfo>
    </Document_x0020_Approver>
    <Document_x0020_Reviewer xmlns="ebd27a46-ddf9-4355-94d6-8c5280a78982">
      <UserInfo>
        <DisplayName/>
        <AccountId xsi:nil="true"/>
        <AccountType/>
      </UserInfo>
    </Document_x0020_Reviewer>
    <lcf76f155ced4ddcb4097134ff3c332f xmlns="8f095774-df81-48af-aa6a-8fb56f5ff609">
      <Terms xmlns="http://schemas.microsoft.com/office/infopath/2007/PartnerControls"/>
    </lcf76f155ced4ddcb4097134ff3c332f>
    <TaxCatchAll xmlns="ebd27a46-ddf9-4355-94d6-8c5280a789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87B2F246D41741B860CACA45DFEC68" ma:contentTypeVersion="21" ma:contentTypeDescription="Create a new document." ma:contentTypeScope="" ma:versionID="802d6c5be59379646255552648c2cf47">
  <xsd:schema xmlns:xsd="http://www.w3.org/2001/XMLSchema" xmlns:xs="http://www.w3.org/2001/XMLSchema" xmlns:p="http://schemas.microsoft.com/office/2006/metadata/properties" xmlns:ns2="852b4af4-9b0a-400f-8219-9efe483fa0d9" xmlns:ns3="ebd27a46-ddf9-4355-94d6-8c5280a78982" xmlns:ns4="8f095774-df81-48af-aa6a-8fb56f5ff609" targetNamespace="http://schemas.microsoft.com/office/2006/metadata/properties" ma:root="true" ma:fieldsID="c0991af9a8f2fc15783ea279bba5afe0" ns2:_="" ns3:_="" ns4:_="">
    <xsd:import namespace="852b4af4-9b0a-400f-8219-9efe483fa0d9"/>
    <xsd:import namespace="ebd27a46-ddf9-4355-94d6-8c5280a78982"/>
    <xsd:import namespace="8f095774-df81-48af-aa6a-8fb56f5ff60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Client" minOccurs="0"/>
                <xsd:element ref="ns3:Document_x0020_Approver" minOccurs="0"/>
                <xsd:element ref="ns2:Document_x0020_Number" minOccurs="0"/>
                <xsd:element ref="ns3:Document_x0020_Reviewer" minOccurs="0"/>
                <xsd:element ref="ns2:Document_x0020_Status" minOccurs="0"/>
                <xsd:element ref="ns2:Document_x0020_Type" minOccurs="0"/>
                <xsd:element ref="ns2:Project_x0020_Number" minOccurs="0"/>
                <xsd:element ref="ns2:Project_x0020_Phase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lcf76f155ced4ddcb4097134ff3c332f" minOccurs="0"/>
                <xsd:element ref="ns3:TaxCatchAll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b4af4-9b0a-400f-8219-9efe483fa0d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lient" ma:index="10" nillable="true" ma:displayName="Client" ma:internalName="Client">
      <xsd:simpleType>
        <xsd:restriction base="dms:Text">
          <xsd:maxLength value="255"/>
        </xsd:restriction>
      </xsd:simpleType>
    </xsd:element>
    <xsd:element name="Document_x0020_Number" ma:index="12" nillable="true" ma:displayName="Document Number" ma:internalName="Document_x0020_Number">
      <xsd:simpleType>
        <xsd:restriction base="dms:Text">
          <xsd:maxLength value="255"/>
        </xsd:restriction>
      </xsd:simpleType>
    </xsd:element>
    <xsd:element name="Document_x0020_Status" ma:index="14" nillable="true" ma:displayName="Document Status" ma:format="Dropdown" ma:internalName="Document_x0020_Status">
      <xsd:simpleType>
        <xsd:restriction base="dms:Choice">
          <xsd:enumeration value="Draft"/>
          <xsd:enumeration value="Reviewed"/>
          <xsd:enumeration value="Approved"/>
          <xsd:enumeration value="Issued"/>
        </xsd:restriction>
      </xsd:simpleType>
    </xsd:element>
    <xsd:element name="Document_x0020_Type" ma:index="15" nillable="true" ma:displayName="Document Type" ma:format="Dropdown" ma:internalName="Document_x0020_Type">
      <xsd:simpleType>
        <xsd:restriction base="dms:Choice">
          <xsd:enumeration value="Report"/>
          <xsd:enumeration value="Register"/>
          <xsd:enumeration value="Specification"/>
          <xsd:enumeration value="Drawing"/>
          <xsd:enumeration value="Correspondence"/>
          <xsd:enumeration value="Schedule"/>
          <xsd:enumeration value="Estimate"/>
          <xsd:enumeration value="Photo"/>
          <xsd:enumeration value="Tender"/>
          <xsd:enumeration value="Financial Document"/>
          <xsd:enumeration value="Compressed File"/>
          <xsd:enumeration value="Contract"/>
          <xsd:enumeration value="Project Plan"/>
          <xsd:enumeration value="Safety Document"/>
          <xsd:enumeration value="Corporate Document"/>
          <xsd:enumeration value="Client Document"/>
          <xsd:enumeration value="Subcontractor Document"/>
          <xsd:enumeration value="Quality Document"/>
        </xsd:restriction>
      </xsd:simpleType>
    </xsd:element>
    <xsd:element name="Project_x0020_Number" ma:index="16" nillable="true" ma:displayName="Project Number" ma:internalName="Project_x0020_Number">
      <xsd:simpleType>
        <xsd:restriction base="dms:Text">
          <xsd:maxLength value="255"/>
        </xsd:restriction>
      </xsd:simpleType>
    </xsd:element>
    <xsd:element name="Project_x0020_Phase" ma:index="17" nillable="true" ma:displayName="Project Phase" ma:default="Tender" ma:format="Dropdown" ma:internalName="Project_x0020_Phase">
      <xsd:simpleType>
        <xsd:restriction base="dms:Choice">
          <xsd:enumeration value="Tender"/>
          <xsd:enumeration value="Design"/>
          <xsd:enumeration value="Project Management"/>
          <xsd:enumeration value="Construction"/>
          <xsd:enumeration value="Commission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27a46-ddf9-4355-94d6-8c5280a78982" elementFormDefault="qualified">
    <xsd:import namespace="http://schemas.microsoft.com/office/2006/documentManagement/types"/>
    <xsd:import namespace="http://schemas.microsoft.com/office/infopath/2007/PartnerControls"/>
    <xsd:element name="Document_x0020_Approver" ma:index="11" nillable="true" ma:displayName="Document Approver" ma:list="UserInfo" ma:SharePointGroup="0" ma:internalName="Document_x0020_Approv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_x0020_Reviewer" ma:index="13" nillable="true" ma:displayName="Document Reviewer" ma:list="UserInfo" ma:SharePointGroup="0" ma:internalName="Document_x0020_Review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4" nillable="true" ma:displayName="Taxonomy Catch All Column" ma:hidden="true" ma:list="{9faad679-1fc6-46df-9587-747910133138}" ma:internalName="TaxCatchAll" ma:showField="CatchAllData" ma:web="ebd27a46-ddf9-4355-94d6-8c5280a78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95774-df81-48af-aa6a-8fb56f5ff6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9950e38-0095-4bd7-ac52-55c480c4b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F019BE-D627-4CCA-91C4-C0549DADE7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A992D-06B4-42D7-B996-D89A4DD42BB1}">
  <ds:schemaRefs>
    <ds:schemaRef ds:uri="ebd27a46-ddf9-4355-94d6-8c5280a78982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f095774-df81-48af-aa6a-8fb56f5ff609"/>
    <ds:schemaRef ds:uri="http://schemas.microsoft.com/office/infopath/2007/PartnerControls"/>
    <ds:schemaRef ds:uri="http://schemas.openxmlformats.org/package/2006/metadata/core-properties"/>
    <ds:schemaRef ds:uri="852b4af4-9b0a-400f-8219-9efe483fa0d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012340F-83C2-49D9-BE9A-2AC5435C6C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b4af4-9b0a-400f-8219-9efe483fa0d9"/>
    <ds:schemaRef ds:uri="ebd27a46-ddf9-4355-94d6-8c5280a78982"/>
    <ds:schemaRef ds:uri="8f095774-df81-48af-aa6a-8fb56f5ff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d53608-54ca-4a74-8beb-8a1399c1189c}" enabled="0" method="" siteId="{78d53608-54ca-4a74-8beb-8a1399c1189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SEL 751 Feeder Relay</vt:lpstr>
      <vt:lpstr>'SEL 751 Feeder Relay'!Print_Area</vt:lpstr>
      <vt:lpstr>'SEL 751 Feeder Relay'!Print_Titles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Bruce, David</dc:creator>
  <cp:lastModifiedBy>Heron, Chris</cp:lastModifiedBy>
  <cp:lastPrinted>2024-01-28T22:31:38Z</cp:lastPrinted>
  <dcterms:created xsi:type="dcterms:W3CDTF">2019-02-25T04:36:32Z</dcterms:created>
  <dcterms:modified xsi:type="dcterms:W3CDTF">2026-03-29T03:48:14Z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0x0101006E87B2F246D41741B860CACA45DFEC68</vt:lpwstr>
  </property>
  <property fmtid="{D5CDD505-2E9C-101B-9397-08002B2CF9AE}" pid="3" name="MediaServiceImageTags">
    <vt:lpwstr/>
  </property>
</Properties>
</file>